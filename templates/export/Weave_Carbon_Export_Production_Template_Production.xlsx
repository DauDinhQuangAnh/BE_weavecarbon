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0288d6de6484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ommercial Invoice" sheetId="1" ns1:id="R6fc248a8a15e4228"/>
    <sheet name="Packing List" sheetId="2" ns1:id="R9e3364f722584500"/>
    <sheet name="Bill of Lading - Carbon Annex" sheetId="3" ns1:id="R24021dd691ad4451"/>
    <sheet name="Developer Mapping" sheetId="4" ns1:id="Rd6b4fc3df9a24089"/>
  </sheets>
  <definedNames>
    <definedName name="CI_Metadata">'Commercial Invoice'!$A$10:$M$15</definedName>
    <definedName name="CI_LineItems">'Commercial Invoice'!$A$17:$M$37</definedName>
    <definedName name="CI_Totals">'Commercial Invoice'!$A$38:$M$41</definedName>
    <definedName name="PL_Metadata">'Packing List'!$A$10:$N$15</definedName>
    <definedName name="PL_CartonLines">'Packing List'!$A$17:$N$37</definedName>
    <definedName name="PL_Totals">'Packing List'!$A$38:$H$49</definedName>
    <definedName name="BL_Metadata">'Bill of Lading - Carbon Annex'!$A$4:$P$12</definedName>
    <definedName name="BL_CarbonLegs">'Bill of Lading - Carbon Annex'!$A$17:$P$37</definedName>
    <definedName name="BL_Totals">'Bill of Lading - Carbon Annex'!$A$38:$P$42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#,##0.000"/>
    <x:numFmt numFmtId="203" formatCode="#,##0.0"/>
    <x:numFmt numFmtId="204" formatCode="#,##0.000000"/>
  </x:numFmts>
  <x:fonts count="35">
    <x:font>
      <x:sz val="11"/>
      <x:name val="Carlito"/>
    </x:font>
    <x:font>
      <x:b/>
      <x:sz val="16"/>
      <x:color rgb="FFFFFF"/>
      <x:name val="Carlito"/>
    </x:font>
    <x:font>
      <x:b/>
      <x:sz val="9"/>
      <x:color rgb="111827"/>
      <x:name val="Carlito"/>
    </x:font>
    <x:font>
      <x:i/>
      <x:sz val="9"/>
      <x:color rgb="64748B"/>
      <x:name val="Carlito"/>
    </x:font>
    <x:font>
      <x:b/>
      <x:sz val="10"/>
      <x:color rgb="FFFFFF"/>
      <x:name val="Carlito"/>
    </x:font>
    <x:font>
      <x:b/>
      <x:sz val="9"/>
      <x:color rgb="0B3D2E"/>
      <x:name val="Carlito"/>
    </x:font>
    <x:font>
      <x:sz val="9"/>
      <x:color rgb="111827"/>
      <x:name val="Carlito"/>
    </x:font>
    <x:font>
      <x:b/>
      <x:sz val="9"/>
      <x:color rgb="FFFFFF"/>
      <x:name val="Carlito"/>
    </x:font>
    <x:font>
      <x:b/>
      <x:sz val="10"/>
      <x:color rgb="0B3D2E"/>
      <x:name val="Carlito"/>
    </x:font>
    <x:font>
      <x:i/>
      <x:sz val="8"/>
      <x:color rgb="64748B"/>
      <x:name val="Carlito"/>
    </x:font>
    <x:font>
      <x:i/>
      <x:sz val="8"/>
      <x:color rgb="FFFFFF"/>
      <x:name val="Carlito"/>
    </x:font>
    <x:font>
      <x:b/>
      <x:sz val="16"/>
      <x:color rgb="FFFFFF"/>
      <x:name val="Aptos"/>
    </x:font>
    <x:font>
      <x:b/>
      <x:sz val="9"/>
      <x:color rgb="111827"/>
      <x:name val="Aptos"/>
    </x:font>
    <x:font>
      <x:i/>
      <x:sz val="9"/>
      <x:color rgb="64748B"/>
      <x:name val="Aptos"/>
    </x:font>
    <x:font>
      <x:b/>
      <x:sz val="10"/>
      <x:color rgb="FFFFFF"/>
      <x:name val="Aptos"/>
    </x:font>
    <x:font>
      <x:sz val="11"/>
      <x:name val="Aptos"/>
    </x:font>
    <x:font>
      <x:b/>
      <x:sz val="9"/>
      <x:color rgb="0B3D2E"/>
      <x:name val="Aptos"/>
    </x:font>
    <x:font>
      <x:sz val="9"/>
      <x:color rgb="111827"/>
      <x:name val="Aptos"/>
    </x:font>
    <x:font>
      <x:b/>
      <x:sz val="9"/>
      <x:color rgb="FFFFFF"/>
      <x:name val="Aptos"/>
    </x:font>
    <x:font>
      <x:b/>
      <x:sz val="10"/>
      <x:color rgb="0B3D2E"/>
      <x:name val="Aptos"/>
    </x:font>
    <x:font>
      <x:i/>
      <x:sz val="8"/>
      <x:color rgb="64748B"/>
      <x:name val="Aptos"/>
    </x:font>
    <x:font>
      <x:i/>
      <x:sz val="8"/>
      <x:color rgb="FFFFFF"/>
      <x:name val="Aptos"/>
    </x:font>
    <x:font>
      <x:b/>
      <x:sz val="15"/>
      <x:color rgb="FFFFFF"/>
      <x:name val="Aptos"/>
    </x:font>
    <x:font>
      <x:b/>
      <x:sz val="8"/>
      <x:color rgb="0B3D2E"/>
      <x:name val="Aptos"/>
    </x:font>
    <x:font>
      <x:sz val="9"/>
      <x:color rgb="0563C1"/>
      <x:name val="Aptos"/>
    </x:font>
    <x:font>
      <x:sz val="9"/>
      <x:color rgb="1F2937"/>
      <x:name val="Aptos"/>
    </x:font>
    <x:font>
      <x:b/>
      <x:sz val="9"/>
      <x:color rgb="1F2937"/>
      <x:name val="Aptos"/>
    </x:font>
    <x:font>
      <x:i/>
      <x:sz val="9"/>
      <x:color rgb="7A4D00"/>
      <x:name val="Aptos"/>
    </x:font>
    <x:font>
      <x:b/>
      <x:i/>
      <x:sz val="9"/>
      <x:color rgb="7A4D00"/>
      <x:name val="Aptos"/>
    </x:font>
    <x:font>
      <x:b/>
      <x:sz val="15"/>
      <x:color rgb="FFFFFF"/>
      <x:name val="Carlito"/>
    </x:font>
    <x:font>
      <x:b/>
      <x:sz val="11"/>
      <x:color rgb="0B3D2E"/>
      <x:name val="Carlito"/>
    </x:font>
    <x:font>
      <x:sz val="9"/>
      <x:color rgb="1F2937"/>
      <x:name val="Carlito"/>
    </x:font>
    <x:font>
      <x:i/>
      <x:sz val="9"/>
      <x:color rgb="7A4D00"/>
      <x:name val="Carlito"/>
    </x:font>
    <x:font>
      <x:i/>
      <x:sz val="9"/>
      <x:color rgb="0B3D2E"/>
      <x:name val="Aptos"/>
    </x:font>
    <x:font>
      <x:b/>
      <x:i/>
      <x:sz val="9"/>
      <x:color rgb="1F2937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DFF5EC"/>
      </x:patternFill>
    </x:fill>
    <x:fill>
      <x:patternFill patternType="solid">
        <x:fgColor rgb="FFFFFF"/>
      </x:patternFill>
    </x:fill>
    <x:fill>
      <x:patternFill patternType="solid">
        <x:fgColor rgb="0F766E"/>
      </x:patternFill>
    </x:fill>
    <x:fill>
      <x:patternFill patternType="solid">
        <x:fgColor rgb="F0FDF4"/>
      </x:patternFill>
    </x:fill>
    <x:fill>
      <x:patternFill patternType="solid">
        <x:fgColor rgb="F8FAFC"/>
      </x:patternFill>
    </x:fill>
    <x:fill>
      <x:patternFill patternType="solid">
        <x:fgColor rgb="0B3D2E"/>
      </x:patternFill>
    </x:fill>
    <x:fill>
      <x:patternFill patternType="solid">
        <x:fgColor rgb="F0FAF5"/>
      </x:patternFill>
    </x:fill>
    <x:fill>
      <x:patternFill patternType="solid">
        <x:fgColor rgb="DDEFE7"/>
      </x:patternFill>
    </x:fill>
    <x:fill>
      <x:patternFill patternType="solid">
        <x:fgColor rgb="FFF2CC"/>
      </x:patternFill>
    </x:fill>
    <x:fill>
      <x:patternFill patternType="solid">
        <x:fgColor rgb="E7F5EE"/>
      </x:patternFill>
    </x:fill>
    <x:fill>
      <x:patternFill patternType="solid">
        <x:fgColor rgb="0F766E"/>
      </x:patternFill>
    </x:fill>
    <x:fill>
      <x:patternFill patternType="solid">
        <x:fgColor rgb="EAF7F0"/>
      </x:patternFill>
    </x:fill>
    <x:fill>
      <x:patternFill patternType="solid">
        <x:fgColor rgb="FFFFFF"/>
      </x:patternFill>
    </x:fill>
  </x:fills>
  <x:borders count="35">
    <x:border/>
    <x:border/>
    <x:border>
      <x:left style="thin">
        <x:color rgb="A7C8B7"/>
      </x:left>
      <x:right style="thin">
        <x:color rgb="A7C8B7"/>
      </x:right>
      <x:top style="thin">
        <x:color rgb="A7C8B7"/>
      </x:top>
      <x:bottom style="thin">
        <x:color rgb="A7C8B7"/>
      </x:bottom>
    </x:border>
    <x:border>
      <x:left style="thin">
        <x:color rgb="A7C8B7"/>
      </x:left>
      <x:right style="thin">
        <x:color rgb="A7C8B7"/>
      </x:right>
      <x:top style="thin">
        <x:color rgb="A7C8B7"/>
      </x:top>
      <x:bottom style="thin">
        <x:color rgb="A7C8B7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0B3D2E"/>
      </x:left>
      <x:right style="thin">
        <x:color rgb="0B3D2E"/>
      </x:right>
      <x:top style="thin">
        <x:color rgb="0B3D2E"/>
      </x:top>
      <x:bottom style="thin">
        <x:color rgb="0B3D2E"/>
      </x:bottom>
    </x:border>
    <x:border>
      <x:left style="thin">
        <x:color rgb="0B3D2E"/>
      </x:left>
      <x:right style="thin">
        <x:color rgb="0B3D2E"/>
      </x:right>
      <x:top style="thin">
        <x:color rgb="0B3D2E"/>
      </x:top>
      <x:bottom style="thin">
        <x:color rgb="0B3D2E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medium">
        <x:color rgb="0F766E"/>
      </x:left>
      <x:right style="medium">
        <x:color rgb="0F766E"/>
      </x:right>
      <x:top style="medium">
        <x:color rgb="0F766E"/>
      </x:top>
      <x:bottom style="medium">
        <x:color rgb="0F766E"/>
      </x:bottom>
    </x:border>
    <x:border>
      <x:left style="medium">
        <x:color rgb="0F766E"/>
      </x:left>
      <x:right style="medium">
        <x:color rgb="0F766E"/>
      </x:right>
      <x:top style="medium">
        <x:color rgb="0F766E"/>
      </x:top>
      <x:bottom style="medium">
        <x:color rgb="0F766E"/>
      </x:bottom>
    </x:border>
    <x:border>
      <x:left style="thin">
        <x:color rgb="0B3D2E"/>
      </x:left>
      <x:top style="thin">
        <x:color rgb="0B3D2E"/>
      </x:top>
      <x:bottom style="thin">
        <x:color rgb="0B3D2E"/>
      </x:bottom>
    </x:border>
    <x:border>
      <x:top style="thin">
        <x:color rgb="0B3D2E"/>
      </x:top>
      <x:bottom style="thin">
        <x:color rgb="0B3D2E"/>
      </x:bottom>
    </x:border>
    <x:border>
      <x:right style="thin">
        <x:color rgb="0B3D2E"/>
      </x:right>
      <x:top style="thin">
        <x:color rgb="0B3D2E"/>
      </x:top>
      <x:bottom style="thin">
        <x:color rgb="0B3D2E"/>
      </x:bottom>
    </x:border>
    <x:border>
      <x:left style="thin">
        <x:color rgb="0B3D2E"/>
      </x:left>
      <x:top style="thin">
        <x:color rgb="0B3D2E"/>
      </x:top>
      <x:bottom style="thin">
        <x:color rgb="0B3D2E"/>
      </x:bottom>
    </x:border>
    <x:border>
      <x:top style="thin">
        <x:color rgb="0B3D2E"/>
      </x:top>
      <x:bottom style="thin">
        <x:color rgb="0B3D2E"/>
      </x:bottom>
    </x:border>
    <x:border>
      <x:right style="thin">
        <x:color rgb="0B3D2E"/>
      </x:right>
      <x:top style="thin">
        <x:color rgb="0B3D2E"/>
      </x:top>
      <x:bottom style="thin">
        <x:color rgb="0B3D2E"/>
      </x:bottom>
    </x:border>
    <x:border>
      <x:left style="thin">
        <x:color rgb="A7C7B7"/>
      </x:left>
      <x:right style="thin">
        <x:color rgb="A7C7B7"/>
      </x:right>
      <x:top style="thin">
        <x:color rgb="A7C7B7"/>
      </x:top>
      <x:bottom style="thin">
        <x:color rgb="A7C7B7"/>
      </x:bottom>
    </x:border>
    <x:border>
      <x:left style="thin">
        <x:color rgb="0F766E"/>
      </x:left>
      <x:right style="thin">
        <x:color rgb="0F766E"/>
      </x:right>
      <x:top style="thin">
        <x:color rgb="0F766E"/>
      </x:top>
      <x:bottom style="thin">
        <x:color rgb="0F766E"/>
      </x:bottom>
    </x:border>
    <x:border>
      <x:left style="thin">
        <x:color rgb="0F766E"/>
      </x:left>
      <x:right style="thin">
        <x:color rgb="0B3D2E"/>
      </x:right>
      <x:top style="thin">
        <x:color rgb="0F766E"/>
      </x:top>
      <x:bottom style="thin">
        <x:color rgb="0F766E"/>
      </x:bottom>
    </x:border>
    <x:border>
      <x:left style="thin">
        <x:color rgb="0B3D2E"/>
      </x:left>
      <x:right style="thin">
        <x:color rgb="0B3D2E"/>
      </x:right>
      <x:top style="thin">
        <x:color rgb="0F766E"/>
      </x:top>
      <x:bottom style="thin">
        <x:color rgb="0F766E"/>
      </x:bottom>
    </x:border>
    <x:border>
      <x:right style="thin">
        <x:color rgb="0F766E"/>
      </x:right>
      <x:top style="thin">
        <x:color rgb="0F766E"/>
      </x:top>
      <x:bottom style="thin">
        <x:color rgb="0F766E"/>
      </x:bottom>
    </x:border>
    <x:border>
      <x:left style="thin">
        <x:color rgb="0F766E"/>
      </x:left>
      <x:top style="thin">
        <x:color rgb="0F766E"/>
      </x:top>
      <x:bottom style="thin">
        <x:color rgb="0F766E"/>
      </x:bottom>
    </x:border>
    <x:border>
      <x:top style="thin">
        <x:color rgb="0F766E"/>
      </x:top>
      <x:bottom style="thin">
        <x:color rgb="0F766E"/>
      </x:bottom>
    </x:border>
    <x:border>
      <x:left style="thin">
        <x:color rgb="0B3D2E"/>
      </x:left>
      <x:right style="thin">
        <x:color rgb="0F766E"/>
      </x:right>
      <x:top style="thin">
        <x:color rgb="0F766E"/>
      </x:top>
      <x:bottom style="thin">
        <x:color rgb="0F766E"/>
      </x:bottom>
    </x:border>
    <x:border>
      <x:left style="medium">
        <x:color rgb="0F766E"/>
      </x:left>
      <x:right style="medium">
        <x:color rgb="0F766E"/>
      </x:right>
      <x:top style="thin">
        <x:color rgb="0F766E"/>
      </x:top>
      <x:bottom style="thin">
        <x:color rgb="0F766E"/>
      </x:bottom>
    </x:border>
    <x:border>
      <x:left style="medium">
        <x:color rgb="0F766E"/>
      </x:left>
      <x:right style="thin">
        <x:color rgb="0F766E"/>
      </x:right>
      <x:top style="thin">
        <x:color rgb="0F766E"/>
      </x:top>
      <x:bottom style="thin">
        <x:color rgb="0F766E"/>
      </x:bottom>
    </x:border>
    <x:border>
      <x:left style="thin">
        <x:color rgb="A7C7B7"/>
      </x:left>
      <x:top style="thin">
        <x:color rgb="A7C7B7"/>
      </x:top>
      <x:bottom style="thin">
        <x:color rgb="A7C7B7"/>
      </x:bottom>
    </x:border>
    <x:border>
      <x:top style="thin">
        <x:color rgb="A7C7B7"/>
      </x:top>
      <x:bottom style="thin">
        <x:color rgb="A7C7B7"/>
      </x:bottom>
    </x:border>
    <x:border>
      <x:right style="thin">
        <x:color rgb="A7C7B7"/>
      </x:right>
      <x:top style="thin">
        <x:color rgb="A7C7B7"/>
      </x:top>
      <x:bottom style="thin">
        <x:color rgb="A7C7B7"/>
      </x:bottom>
    </x:border>
  </x:borders>
  <x:cellStyleXfs count="1">
    <x:xf numFmtId="0" fontId="0" fillId="0" borderId="0"/>
  </x:cellStyleXfs>
  <x:cellXfs count="4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left" vertical="center"/>
    </x:xf>
    <x:xf numFmtId="0" fontId="3" fillId="4" borderId="5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3" fillId="4" borderId="7" xfId="0" applyNumberFormat="1" applyFont="1" applyFill="1" applyBorder="1" applyAlignment="1">
      <x:alignment horizontal="left" vertical="center"/>
    </x:xf>
    <x:xf numFmtId="0" fontId="3" fillId="4" borderId="8" xfId="0" applyNumberFormat="1" applyFont="1" applyFill="1" applyBorder="1" applyAlignment="1">
      <x:alignment horizontal="left" vertical="center"/>
    </x:xf>
    <x:xf numFmtId="0" fontId="3" fillId="4" borderId="9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5" fillId="6" borderId="1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12" xfId="0" applyNumberFormat="1" applyFont="1" applyFill="1" applyBorder="1" applyAlignment="1">
      <x:alignment horizontal="left" vertical="center" wrapText="1"/>
    </x:xf>
    <x:xf numFmtId="0" fontId="5" fillId="6" borderId="13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6" fillId="6" borderId="12" xfId="0" applyNumberFormat="1" applyFont="1" applyFill="1" applyBorder="1" applyAlignment="1">
      <x:alignment horizontal="left" vertical="center" wrapText="1"/>
    </x:xf>
    <x:xf numFmtId="0" fontId="6" fillId="6" borderId="13" xfId="0" applyNumberFormat="1" applyFont="1" applyFill="1" applyBorder="1" applyAlignment="1">
      <x:alignment horizontal="left" vertical="center" wrapText="1"/>
    </x:xf>
    <x:xf numFmtId="0" fontId="2" fillId="6" borderId="12" xfId="0" applyNumberFormat="1" applyFont="1" applyFill="1" applyBorder="1" applyAlignment="1">
      <x:alignment horizontal="left" vertical="center" wrapText="1"/>
    </x:xf>
    <x:xf numFmtId="0" fontId="2" fillId="6" borderId="13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10" xfId="0" applyNumberFormat="1" applyFont="1" applyFill="1" applyBorder="1" applyAlignment="1">
      <x:alignment horizontal="center" vertical="center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200" fontId="6" fillId="4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6" fillId="4" borderId="13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1" fontId="6" fillId="4" borderId="12" xfId="0" applyNumberFormat="1" applyFont="1" applyFill="1" applyBorder="1" applyAlignment="1">
      <x:alignment horizontal="center" vertical="center" wrapText="1"/>
    </x:xf>
    <x:xf numFmtId="201" fontId="6" fillId="7" borderId="1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6" fillId="4" borderId="13" xfId="0" applyNumberFormat="1" applyFont="1" applyFill="1" applyBorder="1" applyAlignment="1">
      <x:alignment horizontal="center" vertical="center" wrapText="1"/>
    </x:xf>
    <x:xf numFmtId="201" fontId="6" fillId="7" borderId="13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2" fontId="6" fillId="4" borderId="12" xfId="0" applyNumberFormat="1" applyFont="1" applyFill="1" applyBorder="1" applyAlignment="1">
      <x:alignment horizontal="center" vertical="center" wrapText="1"/>
    </x:xf>
    <x:xf numFmtId="202" fontId="6" fillId="7" borderId="1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6" fillId="4" borderId="13" xfId="0" applyNumberFormat="1" applyFont="1" applyFill="1" applyBorder="1" applyAlignment="1">
      <x:alignment horizontal="center" vertical="center" wrapText="1"/>
    </x:xf>
    <x:xf numFmtId="202" fontId="6" fillId="7" borderId="13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8" fillId="3" borderId="0" xfId="0" applyNumberFormat="1" applyFont="1" applyFill="1" applyBorder="1"/>
    <x:xf numFmtId="202" fontId="8" fillId="3" borderId="0" xfId="0" applyNumberFormat="1" applyFont="1" applyFill="1" applyBorder="1"/>
    <x:xf numFmtId="0" fontId="8" fillId="3" borderId="1" xfId="0" applyNumberFormat="1" applyFont="1" applyFill="1" applyBorder="1"/>
    <x:xf numFmtId="200" fontId="8" fillId="3" borderId="1" xfId="0" applyNumberFormat="1" applyFont="1" applyFill="1" applyBorder="1"/>
    <x:xf numFmtId="201" fontId="8" fillId="3" borderId="1" xfId="0" applyNumberFormat="1" applyFont="1" applyFill="1" applyBorder="1"/>
    <x:xf numFmtId="202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200" fontId="8" fillId="3" borderId="0" xfId="0" applyNumberFormat="1" applyFont="1" applyFill="1" applyBorder="1" applyAlignment="1">
      <x:alignment horizontal="center"/>
    </x:xf>
    <x:xf numFmtId="201" fontId="8" fillId="3" borderId="0" xfId="0" applyNumberFormat="1" applyFont="1" applyFill="1" applyBorder="1" applyAlignment="1">
      <x:alignment horizontal="center"/>
    </x:xf>
    <x:xf numFmtId="202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/>
    </x:xf>
    <x:xf numFmtId="200" fontId="8" fillId="3" borderId="1" xfId="0" applyNumberFormat="1" applyFont="1" applyFill="1" applyBorder="1" applyAlignment="1">
      <x:alignment horizontal="center"/>
    </x:xf>
    <x:xf numFmtId="201" fontId="8" fillId="3" borderId="1" xfId="0" applyNumberFormat="1" applyFont="1" applyFill="1" applyBorder="1" applyAlignment="1">
      <x:alignment horizontal="center"/>
    </x:xf>
    <x:xf numFmtId="202" fontId="8" fillId="3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200" fontId="8" fillId="3" borderId="0" xfId="0" applyNumberFormat="1" applyFont="1" applyFill="1" applyBorder="1" applyAlignment="1">
      <x:alignment horizontal="center" vertical="center"/>
    </x:xf>
    <x:xf numFmtId="201" fontId="8" fillId="3" borderId="0" xfId="0" applyNumberFormat="1" applyFont="1" applyFill="1" applyBorder="1" applyAlignment="1">
      <x:alignment horizontal="center" vertical="center"/>
    </x:xf>
    <x:xf numFmtId="202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center" vertical="center"/>
    </x:xf>
    <x:xf numFmtId="200" fontId="8" fillId="3" borderId="1" xfId="0" applyNumberFormat="1" applyFont="1" applyFill="1" applyBorder="1" applyAlignment="1">
      <x:alignment horizontal="center" vertical="center"/>
    </x:xf>
    <x:xf numFmtId="201" fontId="8" fillId="3" borderId="1" xfId="0" applyNumberFormat="1" applyFont="1" applyFill="1" applyBorder="1" applyAlignment="1">
      <x:alignment horizontal="center" vertical="center"/>
    </x:xf>
    <x:xf numFmtId="202" fontId="8" fillId="3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1" fontId="8" fillId="3" borderId="0" xfId="0" applyNumberFormat="1" applyFont="1" applyFill="1" applyBorder="1" applyAlignment="1">
      <x:alignment horizontal="center" vertical="center" wrapText="1"/>
    </x:xf>
    <x:xf numFmtId="202" fontId="8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200" fontId="8" fillId="3" borderId="1" xfId="0" applyNumberFormat="1" applyFont="1" applyFill="1" applyBorder="1" applyAlignment="1">
      <x:alignment horizontal="center" vertical="center" wrapText="1"/>
    </x:xf>
    <x:xf numFmtId="201" fontId="8" fillId="3" borderId="1" xfId="0" applyNumberFormat="1" applyFont="1" applyFill="1" applyBorder="1" applyAlignment="1">
      <x:alignment horizontal="center" vertical="center" wrapText="1"/>
    </x:xf>
    <x:xf numFmtId="202" fontId="8" fillId="3" borderId="1" xfId="0" applyNumberFormat="1" applyFont="1" applyFill="1" applyBorder="1" applyAlignment="1">
      <x:alignment horizontal="center" vertical="center" wrapText="1"/>
    </x:xf>
    <x:xf numFmtId="0" fontId="8" fillId="3" borderId="14" xfId="0" applyNumberFormat="1" applyFont="1" applyFill="1" applyBorder="1" applyAlignment="1">
      <x:alignment horizontal="center" vertical="center" wrapText="1"/>
    </x:xf>
    <x:xf numFmtId="200" fontId="8" fillId="3" borderId="14" xfId="0" applyNumberFormat="1" applyFont="1" applyFill="1" applyBorder="1" applyAlignment="1">
      <x:alignment horizontal="center" vertical="center" wrapText="1"/>
    </x:xf>
    <x:xf numFmtId="201" fontId="8" fillId="3" borderId="14" xfId="0" applyNumberFormat="1" applyFont="1" applyFill="1" applyBorder="1" applyAlignment="1">
      <x:alignment horizontal="center" vertical="center" wrapText="1"/>
    </x:xf>
    <x:xf numFmtId="202" fontId="8" fillId="3" borderId="14" xfId="0" applyNumberFormat="1" applyFont="1" applyFill="1" applyBorder="1" applyAlignment="1">
      <x:alignment horizontal="center" vertical="center" wrapText="1"/>
    </x:xf>
    <x:xf numFmtId="0" fontId="8" fillId="3" borderId="15" xfId="0" applyNumberFormat="1" applyFont="1" applyFill="1" applyBorder="1" applyAlignment="1">
      <x:alignment horizontal="center" vertical="center" wrapText="1"/>
    </x:xf>
    <x:xf numFmtId="200" fontId="8" fillId="3" borderId="15" xfId="0" applyNumberFormat="1" applyFont="1" applyFill="1" applyBorder="1" applyAlignment="1">
      <x:alignment horizontal="center" vertical="center" wrapText="1"/>
    </x:xf>
    <x:xf numFmtId="201" fontId="8" fillId="3" borderId="15" xfId="0" applyNumberFormat="1" applyFont="1" applyFill="1" applyBorder="1" applyAlignment="1">
      <x:alignment horizontal="center" vertical="center" wrapText="1"/>
    </x:xf>
    <x:xf numFmtId="202" fontId="8" fillId="3" borderId="1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201" fontId="5" fillId="6" borderId="12" xfId="0" applyNumberFormat="1" applyFont="1" applyFill="1" applyBorder="1" applyAlignment="1">
      <x:alignment horizontal="left" vertical="center" wrapText="1"/>
    </x:xf>
    <x:xf numFmtId="201" fontId="5" fillId="6" borderId="13" xfId="0" applyNumberFormat="1" applyFont="1" applyFill="1" applyBorder="1" applyAlignment="1">
      <x:alignment horizontal="left" vertical="center" wrapText="1"/>
    </x:xf>
    <x:xf numFmtId="202" fontId="5" fillId="6" borderId="12" xfId="0" applyNumberFormat="1" applyFont="1" applyFill="1" applyBorder="1" applyAlignment="1">
      <x:alignment horizontal="left" vertical="center" wrapText="1"/>
    </x:xf>
    <x:xf numFmtId="202" fontId="5" fillId="6" borderId="13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/>
    </x:xf>
    <x:xf numFmtId="0" fontId="6" fillId="4" borderId="1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top"/>
    </x:xf>
    <x:xf numFmtId="0" fontId="6" fillId="4" borderId="1" xfId="0" applyNumberFormat="1" applyFont="1" applyFill="1" applyBorder="1" applyAlignment="1">
      <x:alignment horizontal="left" vertical="top"/>
    </x:xf>
    <x:xf numFmtId="0" fontId="6" fillId="4" borderId="0" xfId="0" applyNumberFormat="1" applyFont="1" applyFill="1" applyBorder="1" applyAlignment="1">
      <x:alignment horizontal="left" vertical="top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6" fillId="4" borderId="12" xfId="0" applyNumberFormat="1" applyFont="1" applyFill="1" applyBorder="1" applyAlignment="1">
      <x:alignment horizontal="left" vertical="top" wrapText="1"/>
    </x:xf>
    <x:xf numFmtId="0" fontId="6" fillId="4" borderId="13" xfId="0" applyNumberFormat="1" applyFont="1" applyFill="1" applyBorder="1" applyAlignment="1">
      <x:alignment horizontal="left" vertical="top" wrapText="1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0" fillId="2" borderId="16" xfId="0" applyNumberFormat="1" applyFont="1" applyFill="1" applyBorder="1" applyAlignment="1">
      <x:alignment horizontal="center" vertical="center"/>
    </x:xf>
    <x:xf numFmtId="0" fontId="10" fillId="2" borderId="17" xfId="0" applyNumberFormat="1" applyFont="1" applyFill="1" applyBorder="1" applyAlignment="1">
      <x:alignment horizontal="center" vertical="center"/>
    </x:xf>
    <x:xf numFmtId="0" fontId="10" fillId="2" borderId="18" xfId="0" applyNumberFormat="1" applyFont="1" applyFill="1" applyBorder="1" applyAlignment="1">
      <x:alignment horizontal="center" vertical="center"/>
    </x:xf>
    <x:xf numFmtId="0" fontId="10" fillId="2" borderId="19" xfId="0" applyNumberFormat="1" applyFont="1" applyFill="1" applyBorder="1" applyAlignment="1">
      <x:alignment horizontal="center" vertical="center"/>
    </x:xf>
    <x:xf numFmtId="0" fontId="10" fillId="2" borderId="20" xfId="0" applyNumberFormat="1" applyFont="1" applyFill="1" applyBorder="1" applyAlignment="1">
      <x:alignment horizontal="center" vertical="center"/>
    </x:xf>
    <x:xf numFmtId="0" fontId="10" fillId="2" borderId="21" xfId="0" applyNumberFormat="1" applyFont="1" applyFill="1" applyBorder="1" applyAlignment="1">
      <x:alignment horizontal="center" vertical="center"/>
    </x:xf>
    <x:xf numFmtId="200" fontId="6" fillId="7" borderId="12" xfId="0" applyNumberFormat="1" applyFont="1" applyFill="1" applyBorder="1" applyAlignment="1">
      <x:alignment horizontal="center" vertical="center" wrapText="1"/>
    </x:xf>
    <x:xf numFmtId="200" fontId="6" fillId="7" borderId="13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1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9" fillId="4" borderId="1" xfId="0" applyNumberFormat="1" applyFont="1" applyFill="1" applyBorder="1" applyAlignment="1">
      <x:alignment horizontal="left" vertical="center"/>
    </x:xf>
    <x:xf numFmtId="0" fontId="9" fillId="4" borderId="4" xfId="0" applyNumberFormat="1" applyFont="1" applyFill="1" applyBorder="1" applyAlignment="1">
      <x:alignment horizontal="left" vertical="center"/>
    </x:xf>
    <x:xf numFmtId="0" fontId="9" fillId="4" borderId="5" xfId="0" applyNumberFormat="1" applyFont="1" applyFill="1" applyBorder="1" applyAlignment="1">
      <x:alignment horizontal="left" vertical="center"/>
    </x:xf>
    <x:xf numFmtId="0" fontId="9" fillId="4" borderId="6" xfId="0" applyNumberFormat="1" applyFont="1" applyFill="1" applyBorder="1" applyAlignment="1">
      <x:alignment horizontal="left" vertical="center"/>
    </x:xf>
    <x:xf numFmtId="0" fontId="9" fillId="4" borderId="7" xfId="0" applyNumberFormat="1" applyFont="1" applyFill="1" applyBorder="1" applyAlignment="1">
      <x:alignment horizontal="left" vertical="center"/>
    </x:xf>
    <x:xf numFmtId="0" fontId="9" fillId="4" borderId="8" xfId="0" applyNumberFormat="1" applyFont="1" applyFill="1" applyBorder="1" applyAlignment="1">
      <x:alignment horizontal="left" vertical="center"/>
    </x:xf>
    <x:xf numFmtId="0" fontId="9" fillId="4" borderId="9" xfId="0" applyNumberFormat="1" applyFont="1" applyFill="1" applyBorder="1" applyAlignment="1">
      <x:alignment horizontal="left" vertical="center"/>
    </x:xf>
    <x:xf numFmtId="203" fontId="6" fillId="4" borderId="12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6" fillId="4" borderId="13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/>
    <x:xf numFmtId="204" fontId="6" fillId="4" borderId="12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6" fillId="4" borderId="13" xfId="0" applyNumberFormat="1" applyFont="1" applyFill="1" applyBorder="1" applyAlignment="1">
      <x:alignment horizontal="center" vertical="center" wrapText="1"/>
    </x:xf>
    <x:xf numFmtId="204" fontId="0" fillId="0" borderId="1" xfId="0" applyNumberFormat="1" applyFont="1" applyFill="1" applyBorder="1"/>
    <x:xf numFmtId="203" fontId="0" fillId="3" borderId="0" xfId="0" applyNumberFormat="1" applyFont="1" applyFill="1" applyBorder="1"/>
    <x:xf numFmtId="204" fontId="0" fillId="3" borderId="0" xfId="0" applyNumberFormat="1" applyFont="1" applyFill="1" applyBorder="1"/>
    <x:xf numFmtId="203" fontId="0" fillId="3" borderId="1" xfId="0" applyNumberFormat="1" applyFont="1" applyFill="1" applyBorder="1"/>
    <x:xf numFmtId="204" fontId="0" fillId="3" borderId="1" xfId="0" applyNumberFormat="1" applyFont="1" applyFill="1" applyBorder="1"/>
    <x:xf numFmtId="203" fontId="8" fillId="3" borderId="0" xfId="0" applyNumberFormat="1" applyFont="1" applyFill="1" applyBorder="1"/>
    <x:xf numFmtId="204" fontId="8" fillId="3" borderId="0" xfId="0" applyNumberFormat="1" applyFont="1" applyFill="1" applyBorder="1"/>
    <x:xf numFmtId="203" fontId="8" fillId="3" borderId="1" xfId="0" applyNumberFormat="1" applyFont="1" applyFill="1" applyBorder="1"/>
    <x:xf numFmtId="204" fontId="8" fillId="3" borderId="1" xfId="0" applyNumberFormat="1" applyFont="1" applyFill="1" applyBorder="1"/>
    <x:xf numFmtId="203" fontId="8" fillId="3" borderId="0" xfId="0" applyNumberFormat="1" applyFont="1" applyFill="1" applyBorder="1" applyAlignment="1">
      <x:alignment horizontal="center"/>
    </x:xf>
    <x:xf numFmtId="204" fontId="8" fillId="3" borderId="0" xfId="0" applyNumberFormat="1" applyFont="1" applyFill="1" applyBorder="1" applyAlignment="1">
      <x:alignment horizontal="center"/>
    </x:xf>
    <x:xf numFmtId="203" fontId="8" fillId="3" borderId="1" xfId="0" applyNumberFormat="1" applyFont="1" applyFill="1" applyBorder="1" applyAlignment="1">
      <x:alignment horizontal="center"/>
    </x:xf>
    <x:xf numFmtId="204" fontId="8" fillId="3" borderId="1" xfId="0" applyNumberFormat="1" applyFont="1" applyFill="1" applyBorder="1" applyAlignment="1">
      <x:alignment horizontal="center"/>
    </x:xf>
    <x:xf numFmtId="203" fontId="8" fillId="3" borderId="0" xfId="0" applyNumberFormat="1" applyFont="1" applyFill="1" applyBorder="1" applyAlignment="1">
      <x:alignment horizontal="center" vertical="center"/>
    </x:xf>
    <x:xf numFmtId="204" fontId="8" fillId="3" borderId="0" xfId="0" applyNumberFormat="1" applyFont="1" applyFill="1" applyBorder="1" applyAlignment="1">
      <x:alignment horizontal="center" vertical="center"/>
    </x:xf>
    <x:xf numFmtId="203" fontId="8" fillId="3" borderId="1" xfId="0" applyNumberFormat="1" applyFont="1" applyFill="1" applyBorder="1" applyAlignment="1">
      <x:alignment horizontal="center" vertical="center"/>
    </x:xf>
    <x:xf numFmtId="204" fontId="8" fillId="3" borderId="1" xfId="0" applyNumberFormat="1" applyFont="1" applyFill="1" applyBorder="1" applyAlignment="1">
      <x:alignment horizontal="center" vertical="center"/>
    </x:xf>
    <x:xf numFmtId="203" fontId="8" fillId="3" borderId="0" xfId="0" applyNumberFormat="1" applyFont="1" applyFill="1" applyBorder="1" applyAlignment="1">
      <x:alignment horizontal="center" vertical="center" wrapText="1"/>
    </x:xf>
    <x:xf numFmtId="204" fontId="8" fillId="3" borderId="0" xfId="0" applyNumberFormat="1" applyFont="1" applyFill="1" applyBorder="1" applyAlignment="1">
      <x:alignment horizontal="center" vertical="center" wrapText="1"/>
    </x:xf>
    <x:xf numFmtId="203" fontId="8" fillId="3" borderId="1" xfId="0" applyNumberFormat="1" applyFont="1" applyFill="1" applyBorder="1" applyAlignment="1">
      <x:alignment horizontal="center" vertical="center" wrapText="1"/>
    </x:xf>
    <x:xf numFmtId="204" fontId="8" fillId="3" borderId="1" xfId="0" applyNumberFormat="1" applyFont="1" applyFill="1" applyBorder="1" applyAlignment="1">
      <x:alignment horizontal="center" vertical="center" wrapText="1"/>
    </x:xf>
    <x:xf numFmtId="203" fontId="8" fillId="3" borderId="14" xfId="0" applyNumberFormat="1" applyFont="1" applyFill="1" applyBorder="1" applyAlignment="1">
      <x:alignment horizontal="center" vertical="center" wrapText="1"/>
    </x:xf>
    <x:xf numFmtId="204" fontId="8" fillId="3" borderId="14" xfId="0" applyNumberFormat="1" applyFont="1" applyFill="1" applyBorder="1" applyAlignment="1">
      <x:alignment horizontal="center" vertical="center" wrapText="1"/>
    </x:xf>
    <x:xf numFmtId="203" fontId="8" fillId="3" borderId="15" xfId="0" applyNumberFormat="1" applyFont="1" applyFill="1" applyBorder="1" applyAlignment="1">
      <x:alignment horizontal="center" vertical="center" wrapText="1"/>
    </x:xf>
    <x:xf numFmtId="204" fontId="8" fillId="3" borderId="15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2" fillId="3" borderId="2" xfId="0" applyNumberFormat="1" applyFont="1" applyFill="1" applyBorder="1" applyAlignment="1">
      <x:alignment horizontal="center" vertical="center"/>
    </x:xf>
    <x:xf numFmtId="0" fontId="13" fillId="4" borderId="4" xfId="0" applyNumberFormat="1" applyFont="1" applyFill="1" applyBorder="1" applyAlignment="1">
      <x:alignment horizontal="left" vertical="center"/>
    </x:xf>
    <x:xf numFmtId="0" fontId="13" fillId="4" borderId="5" xfId="0" applyNumberFormat="1" applyFont="1" applyFill="1" applyBorder="1" applyAlignment="1">
      <x:alignment horizontal="left" vertical="center"/>
    </x:xf>
    <x:xf numFmtId="0" fontId="13" fillId="4" borderId="6" xfId="0" applyNumberFormat="1" applyFont="1" applyFill="1" applyBorder="1" applyAlignment="1">
      <x:alignment horizontal="left" vertical="center"/>
    </x:xf>
    <x:xf numFmtId="0" fontId="14" fillId="5" borderId="1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6" fillId="6" borderId="12" xfId="0" applyNumberFormat="1" applyFont="1" applyFill="1" applyBorder="1" applyAlignment="1">
      <x:alignment horizontal="left" vertical="center" wrapText="1"/>
    </x:xf>
    <x:xf numFmtId="0" fontId="17" fillId="6" borderId="12" xfId="0" applyNumberFormat="1" applyFont="1" applyFill="1" applyBorder="1" applyAlignment="1">
      <x:alignment horizontal="left" vertical="center" wrapText="1"/>
    </x:xf>
    <x:xf numFmtId="0" fontId="12" fillId="6" borderId="12" xfId="0" applyNumberFormat="1" applyFont="1" applyFill="1" applyBorder="1" applyAlignment="1">
      <x:alignment horizontal="left" vertical="center" wrapText="1"/>
    </x:xf>
    <x:xf numFmtId="0" fontId="18" fillId="2" borderId="10" xfId="0" applyNumberFormat="1" applyFont="1" applyFill="1" applyBorder="1" applyAlignment="1">
      <x:alignment horizontal="center" vertical="center" wrapText="1"/>
    </x:xf>
    <x:xf numFmtId="0" fontId="17" fillId="4" borderId="12" xfId="0" applyNumberFormat="1" applyFont="1" applyFill="1" applyBorder="1" applyAlignment="1">
      <x:alignment horizontal="center" vertical="center" wrapText="1"/>
    </x:xf>
    <x:xf numFmtId="200" fontId="17" fillId="4" borderId="12" xfId="0" applyNumberFormat="1" applyFont="1" applyFill="1" applyBorder="1" applyAlignment="1">
      <x:alignment horizontal="center" vertical="center" wrapText="1"/>
    </x:xf>
    <x:xf numFmtId="201" fontId="17" fillId="4" borderId="12" xfId="0" applyNumberFormat="1" applyFont="1" applyFill="1" applyBorder="1" applyAlignment="1">
      <x:alignment horizontal="center" vertical="center" wrapText="1"/>
    </x:xf>
    <x:xf numFmtId="201" fontId="17" fillId="7" borderId="12" xfId="0" applyNumberFormat="1" applyFont="1" applyFill="1" applyBorder="1" applyAlignment="1">
      <x:alignment horizontal="center" vertical="center" wrapText="1"/>
    </x:xf>
    <x:xf numFmtId="202" fontId="17" fillId="4" borderId="12" xfId="0" applyNumberFormat="1" applyFont="1" applyFill="1" applyBorder="1" applyAlignment="1">
      <x:alignment horizontal="center" vertical="center" wrapText="1"/>
    </x:xf>
    <x:xf numFmtId="202" fontId="17" fillId="7" borderId="12" xfId="0" applyNumberFormat="1" applyFont="1" applyFill="1" applyBorder="1" applyAlignment="1">
      <x:alignment horizontal="center" vertical="center" wrapText="1"/>
    </x:xf>
    <x:xf numFmtId="0" fontId="19" fillId="3" borderId="14" xfId="0" applyNumberFormat="1" applyFont="1" applyFill="1" applyBorder="1" applyAlignment="1">
      <x:alignment horizontal="center" vertical="center" wrapText="1"/>
    </x:xf>
    <x:xf numFmtId="200" fontId="19" fillId="3" borderId="14" xfId="0" applyNumberFormat="1" applyFont="1" applyFill="1" applyBorder="1" applyAlignment="1">
      <x:alignment horizontal="center" vertical="center" wrapText="1"/>
    </x:xf>
    <x:xf numFmtId="201" fontId="19" fillId="3" borderId="14" xfId="0" applyNumberFormat="1" applyFont="1" applyFill="1" applyBorder="1" applyAlignment="1">
      <x:alignment horizontal="center" vertical="center" wrapText="1"/>
    </x:xf>
    <x:xf numFmtId="202" fontId="19" fillId="3" borderId="14" xfId="0" applyNumberFormat="1" applyFont="1" applyFill="1" applyBorder="1" applyAlignment="1">
      <x:alignment horizontal="center" vertical="center" wrapText="1"/>
    </x:xf>
    <x:xf numFmtId="201" fontId="16" fillId="6" borderId="12" xfId="0" applyNumberFormat="1" applyFont="1" applyFill="1" applyBorder="1" applyAlignment="1">
      <x:alignment horizontal="left" vertical="center" wrapText="1"/>
    </x:xf>
    <x:xf numFmtId="202" fontId="16" fillId="6" borderId="12" xfId="0" applyNumberFormat="1" applyFont="1" applyFill="1" applyBorder="1" applyAlignment="1">
      <x:alignment horizontal="left" vertical="center" wrapText="1"/>
    </x:xf>
    <x:xf numFmtId="0" fontId="17" fillId="4" borderId="12" xfId="0" applyNumberFormat="1" applyFont="1" applyFill="1" applyBorder="1" applyAlignment="1">
      <x:alignment horizontal="left" vertical="top" wrapText="1"/>
    </x:xf>
    <x:xf numFmtId="0" fontId="18" fillId="5" borderId="10" xfId="0" applyNumberFormat="1" applyFont="1" applyFill="1" applyBorder="1" applyAlignment="1">
      <x:alignment horizontal="center" vertical="center"/>
    </x:xf>
    <x:xf numFmtId="0" fontId="15" fillId="4" borderId="12" xfId="0" applyNumberFormat="1" applyFont="1" applyFill="1" applyBorder="1"/>
    <x:xf numFmtId="0" fontId="20" fillId="6" borderId="12" xfId="0" applyNumberFormat="1" applyFont="1" applyFill="1" applyBorder="1" applyAlignment="1">
      <x:alignment horizontal="center" vertical="center"/>
    </x:xf>
    <x:xf numFmtId="0" fontId="21" fillId="2" borderId="16" xfId="0" applyNumberFormat="1" applyFont="1" applyFill="1" applyBorder="1" applyAlignment="1">
      <x:alignment horizontal="center" vertical="center"/>
    </x:xf>
    <x:xf numFmtId="0" fontId="21" fillId="2" borderId="17" xfId="0" applyNumberFormat="1" applyFont="1" applyFill="1" applyBorder="1" applyAlignment="1">
      <x:alignment horizontal="center" vertical="center"/>
    </x:xf>
    <x:xf numFmtId="0" fontId="21" fillId="2" borderId="18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/>
    </x:xf>
    <x:xf numFmtId="0" fontId="13" fillId="4" borderId="7" xfId="0" applyNumberFormat="1" applyFont="1" applyFill="1" applyBorder="1" applyAlignment="1">
      <x:alignment horizontal="left" vertical="center"/>
    </x:xf>
    <x:xf numFmtId="0" fontId="13" fillId="4" borderId="8" xfId="0" applyNumberFormat="1" applyFont="1" applyFill="1" applyBorder="1" applyAlignment="1">
      <x:alignment horizontal="left" vertical="center"/>
    </x:xf>
    <x:xf numFmtId="0" fontId="13" fillId="4" borderId="9" xfId="0" applyNumberFormat="1" applyFont="1" applyFill="1" applyBorder="1" applyAlignment="1">
      <x:alignment horizontal="left" vertical="center"/>
    </x:xf>
    <x:xf numFmtId="0" fontId="14" fillId="5" borderId="11" xfId="0" applyNumberFormat="1" applyFont="1" applyFill="1" applyBorder="1" applyAlignment="1">
      <x:alignment horizontal="center" vertical="center"/>
    </x:xf>
    <x:xf numFmtId="0" fontId="15" fillId="0" borderId="1" xfId="0" applyNumberFormat="1" applyFont="1" applyFill="1" applyBorder="1"/>
    <x:xf numFmtId="0" fontId="16" fillId="6" borderId="13" xfId="0" applyNumberFormat="1" applyFont="1" applyFill="1" applyBorder="1" applyAlignment="1">
      <x:alignment horizontal="left" vertical="center" wrapText="1"/>
    </x:xf>
    <x:xf numFmtId="0" fontId="17" fillId="6" borderId="13" xfId="0" applyNumberFormat="1" applyFont="1" applyFill="1" applyBorder="1" applyAlignment="1">
      <x:alignment horizontal="left" vertical="center" wrapText="1"/>
    </x:xf>
    <x:xf numFmtId="0" fontId="12" fillId="6" borderId="13" xfId="0" applyNumberFormat="1" applyFont="1" applyFill="1" applyBorder="1" applyAlignment="1">
      <x:alignment horizontal="left" vertical="center" wrapText="1"/>
    </x:xf>
    <x:xf numFmtId="0" fontId="18" fillId="2" borderId="11" xfId="0" applyNumberFormat="1" applyFont="1" applyFill="1" applyBorder="1" applyAlignment="1">
      <x:alignment horizontal="center" vertical="center" wrapText="1"/>
    </x:xf>
    <x:xf numFmtId="0" fontId="17" fillId="4" borderId="13" xfId="0" applyNumberFormat="1" applyFont="1" applyFill="1" applyBorder="1" applyAlignment="1">
      <x:alignment horizontal="center" vertical="center" wrapText="1"/>
    </x:xf>
    <x:xf numFmtId="200" fontId="17" fillId="4" borderId="13" xfId="0" applyNumberFormat="1" applyFont="1" applyFill="1" applyBorder="1" applyAlignment="1">
      <x:alignment horizontal="center" vertical="center" wrapText="1"/>
    </x:xf>
    <x:xf numFmtId="201" fontId="17" fillId="4" borderId="13" xfId="0" applyNumberFormat="1" applyFont="1" applyFill="1" applyBorder="1" applyAlignment="1">
      <x:alignment horizontal="center" vertical="center" wrapText="1"/>
    </x:xf>
    <x:xf numFmtId="201" fontId="17" fillId="7" borderId="13" xfId="0" applyNumberFormat="1" applyFont="1" applyFill="1" applyBorder="1" applyAlignment="1">
      <x:alignment horizontal="center" vertical="center" wrapText="1"/>
    </x:xf>
    <x:xf numFmtId="202" fontId="17" fillId="4" borderId="13" xfId="0" applyNumberFormat="1" applyFont="1" applyFill="1" applyBorder="1" applyAlignment="1">
      <x:alignment horizontal="center" vertical="center" wrapText="1"/>
    </x:xf>
    <x:xf numFmtId="202" fontId="17" fillId="7" borderId="13" xfId="0" applyNumberFormat="1" applyFont="1" applyFill="1" applyBorder="1" applyAlignment="1">
      <x:alignment horizontal="center" vertical="center" wrapText="1"/>
    </x:xf>
    <x:xf numFmtId="0" fontId="19" fillId="3" borderId="15" xfId="0" applyNumberFormat="1" applyFont="1" applyFill="1" applyBorder="1" applyAlignment="1">
      <x:alignment horizontal="center" vertical="center" wrapText="1"/>
    </x:xf>
    <x:xf numFmtId="200" fontId="19" fillId="3" borderId="15" xfId="0" applyNumberFormat="1" applyFont="1" applyFill="1" applyBorder="1" applyAlignment="1">
      <x:alignment horizontal="center" vertical="center" wrapText="1"/>
    </x:xf>
    <x:xf numFmtId="201" fontId="19" fillId="3" borderId="15" xfId="0" applyNumberFormat="1" applyFont="1" applyFill="1" applyBorder="1" applyAlignment="1">
      <x:alignment horizontal="center" vertical="center" wrapText="1"/>
    </x:xf>
    <x:xf numFmtId="202" fontId="19" fillId="3" borderId="15" xfId="0" applyNumberFormat="1" applyFont="1" applyFill="1" applyBorder="1" applyAlignment="1">
      <x:alignment horizontal="center" vertical="center" wrapText="1"/>
    </x:xf>
    <x:xf numFmtId="201" fontId="16" fillId="6" borderId="13" xfId="0" applyNumberFormat="1" applyFont="1" applyFill="1" applyBorder="1" applyAlignment="1">
      <x:alignment horizontal="left" vertical="center" wrapText="1"/>
    </x:xf>
    <x:xf numFmtId="202" fontId="16" fillId="6" borderId="13" xfId="0" applyNumberFormat="1" applyFont="1" applyFill="1" applyBorder="1" applyAlignment="1">
      <x:alignment horizontal="left" vertical="center" wrapText="1"/>
    </x:xf>
    <x:xf numFmtId="0" fontId="17" fillId="4" borderId="13" xfId="0" applyNumberFormat="1" applyFont="1" applyFill="1" applyBorder="1" applyAlignment="1">
      <x:alignment horizontal="left" vertical="top" wrapText="1"/>
    </x:xf>
    <x:xf numFmtId="0" fontId="18" fillId="5" borderId="11" xfId="0" applyNumberFormat="1" applyFont="1" applyFill="1" applyBorder="1" applyAlignment="1">
      <x:alignment horizontal="center" vertical="center"/>
    </x:xf>
    <x:xf numFmtId="0" fontId="15" fillId="4" borderId="13" xfId="0" applyNumberFormat="1" applyFont="1" applyFill="1" applyBorder="1"/>
    <x:xf numFmtId="0" fontId="20" fillId="6" borderId="13" xfId="0" applyNumberFormat="1" applyFont="1" applyFill="1" applyBorder="1" applyAlignment="1">
      <x:alignment horizontal="center" vertical="center"/>
    </x:xf>
    <x:xf numFmtId="0" fontId="21" fillId="2" borderId="19" xfId="0" applyNumberFormat="1" applyFont="1" applyFill="1" applyBorder="1" applyAlignment="1">
      <x:alignment horizontal="center" vertical="center"/>
    </x:xf>
    <x:xf numFmtId="0" fontId="21" fillId="2" borderId="20" xfId="0" applyNumberFormat="1" applyFont="1" applyFill="1" applyBorder="1" applyAlignment="1">
      <x:alignment horizontal="center" vertical="center"/>
    </x:xf>
    <x:xf numFmtId="0" fontId="21" fillId="2" borderId="21" xfId="0" applyNumberFormat="1" applyFont="1" applyFill="1" applyBorder="1" applyAlignment="1">
      <x:alignment horizontal="center" vertical="center"/>
    </x:xf>
    <x:xf numFmtId="200" fontId="17" fillId="7" borderId="12" xfId="0" applyNumberFormat="1" applyFont="1" applyFill="1" applyBorder="1" applyAlignment="1">
      <x:alignment horizontal="center" vertical="center" wrapText="1"/>
    </x:xf>
    <x:xf numFmtId="200" fontId="17" fillId="7" borderId="13" xfId="0" applyNumberFormat="1" applyFont="1" applyFill="1" applyBorder="1" applyAlignment="1">
      <x:alignment horizontal="center" vertical="center" wrapText="1"/>
    </x:xf>
    <x:xf numFmtId="0" fontId="16" fillId="3" borderId="2" xfId="0" applyNumberFormat="1" applyFont="1" applyFill="1" applyBorder="1" applyAlignment="1">
      <x:alignment horizontal="center" vertical="center"/>
    </x:xf>
    <x:xf numFmtId="0" fontId="20" fillId="4" borderId="4" xfId="0" applyNumberFormat="1" applyFont="1" applyFill="1" applyBorder="1" applyAlignment="1">
      <x:alignment horizontal="left" vertical="center"/>
    </x:xf>
    <x:xf numFmtId="0" fontId="20" fillId="4" borderId="5" xfId="0" applyNumberFormat="1" applyFont="1" applyFill="1" applyBorder="1" applyAlignment="1">
      <x:alignment horizontal="left" vertical="center"/>
    </x:xf>
    <x:xf numFmtId="0" fontId="20" fillId="4" borderId="6" xfId="0" applyNumberFormat="1" applyFont="1" applyFill="1" applyBorder="1" applyAlignment="1">
      <x:alignment horizontal="left" vertical="center"/>
    </x:xf>
    <x:xf numFmtId="203" fontId="17" fillId="4" borderId="12" xfId="0" applyNumberFormat="1" applyFont="1" applyFill="1" applyBorder="1" applyAlignment="1">
      <x:alignment horizontal="center" vertical="center" wrapText="1"/>
    </x:xf>
    <x:xf numFmtId="204" fontId="17" fillId="4" borderId="12" xfId="0" applyNumberFormat="1" applyFont="1" applyFill="1" applyBorder="1" applyAlignment="1">
      <x:alignment horizontal="center" vertical="center" wrapText="1"/>
    </x:xf>
    <x:xf numFmtId="203" fontId="19" fillId="3" borderId="14" xfId="0" applyNumberFormat="1" applyFont="1" applyFill="1" applyBorder="1" applyAlignment="1">
      <x:alignment horizontal="center" vertical="center" wrapText="1"/>
    </x:xf>
    <x:xf numFmtId="204" fontId="19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 vertical="center" wrapText="1"/>
    </x:xf>
    <x:xf numFmtId="0" fontId="22" fillId="8" borderId="0" xfId="0" applyNumberFormat="1" applyFont="1" applyFill="1" applyBorder="1" applyAlignment="1">
      <x:alignment horizontal="center" vertical="center" wrapText="1"/>
    </x:xf>
    <x:xf numFmtId="0" fontId="22" fillId="8" borderId="16" xfId="0" applyNumberFormat="1" applyFont="1" applyFill="1" applyBorder="1" applyAlignment="1">
      <x:alignment horizontal="center" vertical="center" wrapText="1"/>
    </x:xf>
    <x:xf numFmtId="0" fontId="22" fillId="8" borderId="17" xfId="0" applyNumberFormat="1" applyFont="1" applyFill="1" applyBorder="1" applyAlignment="1">
      <x:alignment horizontal="center" vertical="center" wrapText="1"/>
    </x:xf>
    <x:xf numFmtId="0" fontId="22" fillId="8" borderId="18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/>
    <x:xf numFmtId="0" fontId="23" fillId="9" borderId="0" xfId="0" applyNumberFormat="1" applyFont="1" applyFill="1" applyBorder="1"/>
    <x:xf numFmtId="0" fontId="23" fillId="9" borderId="0" xfId="0" applyNumberFormat="1" applyFont="1" applyFill="1" applyBorder="1" applyAlignment="1">
      <x:alignment wrapText="1"/>
    </x:xf>
    <x:xf numFmtId="0" fontId="23" fillId="9" borderId="0" xfId="0" applyNumberFormat="1" applyFont="1" applyFill="1" applyBorder="1" applyAlignment="1">
      <x:alignment horizontal="center" wrapText="1"/>
    </x:xf>
    <x:xf numFmtId="0" fontId="23" fillId="9" borderId="0" xfId="0" applyNumberFormat="1" applyFont="1" applyFill="1" applyBorder="1" applyAlignment="1">
      <x:alignment horizontal="center" vertical="center" wrapText="1"/>
    </x:xf>
    <x:xf numFmtId="0" fontId="23" fillId="9" borderId="14" xfId="0" applyNumberFormat="1" applyFont="1" applyFill="1" applyBorder="1" applyAlignment="1">
      <x:alignment horizontal="center" vertical="center" wrapText="1"/>
    </x:xf>
    <x:xf numFmtId="0" fontId="24" fillId="6" borderId="12" xfId="0" applyNumberFormat="1" applyFont="1" applyFill="1" applyBorder="1" applyAlignment="1">
      <x:alignment horizontal="left" vertical="center" wrapText="1"/>
    </x:xf>
    <x:xf numFmtId="0" fontId="14" fillId="9" borderId="10" xfId="0" applyNumberFormat="1" applyFont="1" applyFill="1" applyBorder="1" applyAlignment="1">
      <x:alignment horizontal="center" vertical="center"/>
    </x:xf>
    <x:xf numFmtId="0" fontId="23" fillId="9" borderId="10" xfId="0" applyNumberFormat="1" applyFont="1" applyFill="1" applyBorder="1" applyAlignment="1">
      <x:alignment horizontal="center" vertical="center"/>
    </x:xf>
    <x:xf numFmtId="0" fontId="23" fillId="9" borderId="10" xfId="0" applyNumberFormat="1" applyFont="1" applyFill="1" applyBorder="1" applyAlignment="1">
      <x:alignment horizontal="center" vertical="center" wrapText="1"/>
    </x:xf>
    <x:xf numFmtId="0" fontId="18" fillId="8" borderId="10" xfId="0" applyNumberFormat="1" applyFont="1" applyFill="1" applyBorder="1" applyAlignment="1">
      <x:alignment horizontal="center" vertical="center" wrapText="1"/>
    </x:xf>
    <x:xf numFmtId="0" fontId="18" fillId="8" borderId="22" xfId="0" applyNumberFormat="1" applyFont="1" applyFill="1" applyBorder="1" applyAlignment="1">
      <x:alignment horizontal="center" vertical="center" wrapText="1"/>
    </x:xf>
    <x:xf numFmtId="0" fontId="25" fillId="4" borderId="12" xfId="0" applyNumberFormat="1" applyFont="1" applyFill="1" applyBorder="1" applyAlignment="1">
      <x:alignment horizontal="center" vertical="center" wrapText="1"/>
    </x:xf>
    <x:xf numFmtId="200" fontId="25" fillId="4" borderId="12" xfId="0" applyNumberFormat="1" applyFont="1" applyFill="1" applyBorder="1" applyAlignment="1">
      <x:alignment horizontal="center" vertical="center" wrapText="1"/>
    </x:xf>
    <x:xf numFmtId="201" fontId="25" fillId="4" borderId="12" xfId="0" applyNumberFormat="1" applyFont="1" applyFill="1" applyBorder="1" applyAlignment="1">
      <x:alignment horizontal="center" vertical="center" wrapText="1"/>
    </x:xf>
    <x:xf numFmtId="201" fontId="25" fillId="7" borderId="12" xfId="0" applyNumberFormat="1" applyFont="1" applyFill="1" applyBorder="1" applyAlignment="1">
      <x:alignment horizontal="center" vertical="center" wrapText="1"/>
    </x:xf>
    <x:xf numFmtId="202" fontId="25" fillId="4" borderId="12" xfId="0" applyNumberFormat="1" applyFont="1" applyFill="1" applyBorder="1" applyAlignment="1">
      <x:alignment horizontal="center" vertical="center" wrapText="1"/>
    </x:xf>
    <x:xf numFmtId="202" fontId="25" fillId="7" borderId="12" xfId="0" applyNumberFormat="1" applyFont="1" applyFill="1" applyBorder="1" applyAlignment="1">
      <x:alignment horizontal="center" vertical="center" wrapText="1"/>
    </x:xf>
    <x:xf numFmtId="0" fontId="26" fillId="3" borderId="14" xfId="0" applyNumberFormat="1" applyFont="1" applyFill="1" applyBorder="1" applyAlignment="1">
      <x:alignment horizontal="center" vertical="center" wrapText="1"/>
    </x:xf>
    <x:xf numFmtId="200" fontId="26" fillId="3" borderId="14" xfId="0" applyNumberFormat="1" applyFont="1" applyFill="1" applyBorder="1" applyAlignment="1">
      <x:alignment horizontal="center" vertical="center" wrapText="1"/>
    </x:xf>
    <x:xf numFmtId="201" fontId="26" fillId="3" borderId="14" xfId="0" applyNumberFormat="1" applyFont="1" applyFill="1" applyBorder="1" applyAlignment="1">
      <x:alignment horizontal="center" vertical="center" wrapText="1"/>
    </x:xf>
    <x:xf numFmtId="202" fontId="26" fillId="3" borderId="14" xfId="0" applyNumberFormat="1" applyFont="1" applyFill="1" applyBorder="1" applyAlignment="1">
      <x:alignment horizontal="center" vertical="center" wrapText="1"/>
    </x:xf>
    <x:xf numFmtId="0" fontId="25" fillId="4" borderId="22" xfId="0" applyNumberFormat="1" applyFont="1" applyFill="1" applyBorder="1" applyAlignment="1">
      <x:alignment horizontal="center" vertical="center" wrapText="1"/>
    </x:xf>
    <x:xf numFmtId="200" fontId="25" fillId="4" borderId="22" xfId="0" applyNumberFormat="1" applyFont="1" applyFill="1" applyBorder="1" applyAlignment="1">
      <x:alignment horizontal="center" vertical="center" wrapText="1"/>
    </x:xf>
    <x:xf numFmtId="201" fontId="25" fillId="4" borderId="22" xfId="0" applyNumberFormat="1" applyFont="1" applyFill="1" applyBorder="1" applyAlignment="1">
      <x:alignment horizontal="center" vertical="center" wrapText="1"/>
    </x:xf>
    <x:xf numFmtId="201" fontId="25" fillId="7" borderId="22" xfId="0" applyNumberFormat="1" applyFont="1" applyFill="1" applyBorder="1" applyAlignment="1">
      <x:alignment horizontal="center" vertical="center" wrapText="1"/>
    </x:xf>
    <x:xf numFmtId="202" fontId="25" fillId="4" borderId="22" xfId="0" applyNumberFormat="1" applyFont="1" applyFill="1" applyBorder="1" applyAlignment="1">
      <x:alignment horizontal="center" vertical="center" wrapText="1"/>
    </x:xf>
    <x:xf numFmtId="202" fontId="25" fillId="7" borderId="22" xfId="0" applyNumberFormat="1" applyFont="1" applyFill="1" applyBorder="1" applyAlignment="1">
      <x:alignment horizontal="center" vertical="center" wrapText="1"/>
    </x:xf>
    <x:xf numFmtId="0" fontId="26" fillId="3" borderId="22" xfId="0" applyNumberFormat="1" applyFont="1" applyFill="1" applyBorder="1" applyAlignment="1">
      <x:alignment horizontal="center" vertical="center" wrapText="1"/>
    </x:xf>
    <x:xf numFmtId="200" fontId="26" fillId="3" borderId="22" xfId="0" applyNumberFormat="1" applyFont="1" applyFill="1" applyBorder="1" applyAlignment="1">
      <x:alignment horizontal="center" vertical="center" wrapText="1"/>
    </x:xf>
    <x:xf numFmtId="201" fontId="26" fillId="3" borderId="22" xfId="0" applyNumberFormat="1" applyFont="1" applyFill="1" applyBorder="1" applyAlignment="1">
      <x:alignment horizontal="center" vertical="center" wrapText="1"/>
    </x:xf>
    <x:xf numFmtId="202" fontId="26" fillId="3" borderId="22" xfId="0" applyNumberFormat="1" applyFont="1" applyFill="1" applyBorder="1" applyAlignment="1">
      <x:alignment horizontal="center" vertical="center" wrapText="1"/>
    </x:xf>
    <x:xf numFmtId="0" fontId="25" fillId="10" borderId="22" xfId="0" applyNumberFormat="1" applyFont="1" applyFill="1" applyBorder="1" applyAlignment="1">
      <x:alignment horizontal="center" vertical="center" wrapText="1"/>
    </x:xf>
    <x:xf numFmtId="200" fontId="25" fillId="10" borderId="22" xfId="0" applyNumberFormat="1" applyFont="1" applyFill="1" applyBorder="1" applyAlignment="1">
      <x:alignment horizontal="center" vertical="center" wrapText="1"/>
    </x:xf>
    <x:xf numFmtId="201" fontId="25" fillId="10" borderId="22" xfId="0" applyNumberFormat="1" applyFont="1" applyFill="1" applyBorder="1" applyAlignment="1">
      <x:alignment horizontal="center" vertical="center" wrapText="1"/>
    </x:xf>
    <x:xf numFmtId="202" fontId="25" fillId="10" borderId="22" xfId="0" applyNumberFormat="1" applyFont="1" applyFill="1" applyBorder="1" applyAlignment="1">
      <x:alignment horizontal="center" vertical="center" wrapText="1"/>
    </x:xf>
    <x:xf numFmtId="201" fontId="25" fillId="11" borderId="22" xfId="0" applyNumberFormat="1" applyFont="1" applyFill="1" applyBorder="1" applyAlignment="1">
      <x:alignment horizontal="center" vertical="center" wrapText="1"/>
    </x:xf>
    <x:xf numFmtId="201" fontId="27" fillId="11" borderId="22" xfId="0" applyNumberFormat="1" applyFont="1" applyFill="1" applyBorder="1" applyAlignment="1">
      <x:alignment horizontal="center" vertical="center" wrapText="1"/>
    </x:xf>
    <x:xf numFmtId="202" fontId="25" fillId="11" borderId="22" xfId="0" applyNumberFormat="1" applyFont="1" applyFill="1" applyBorder="1" applyAlignment="1">
      <x:alignment horizontal="center" vertical="center" wrapText="1"/>
    </x:xf>
    <x:xf numFmtId="202" fontId="27" fillId="11" borderId="22" xfId="0" applyNumberFormat="1" applyFont="1" applyFill="1" applyBorder="1" applyAlignment="1">
      <x:alignment horizontal="center" vertical="center" wrapText="1"/>
    </x:xf>
    <x:xf numFmtId="0" fontId="26" fillId="12" borderId="22" xfId="0" applyNumberFormat="1" applyFont="1" applyFill="1" applyBorder="1" applyAlignment="1">
      <x:alignment horizontal="center" vertical="center" wrapText="1"/>
    </x:xf>
    <x:xf numFmtId="200" fontId="26" fillId="12" borderId="22" xfId="0" applyNumberFormat="1" applyFont="1" applyFill="1" applyBorder="1" applyAlignment="1">
      <x:alignment horizontal="center" vertical="center" wrapText="1"/>
    </x:xf>
    <x:xf numFmtId="201" fontId="26" fillId="12" borderId="22" xfId="0" applyNumberFormat="1" applyFont="1" applyFill="1" applyBorder="1" applyAlignment="1">
      <x:alignment horizontal="center" vertical="center" wrapText="1"/>
    </x:xf>
    <x:xf numFmtId="202" fontId="26" fillId="12" borderId="22" xfId="0" applyNumberFormat="1" applyFont="1" applyFill="1" applyBorder="1" applyAlignment="1">
      <x:alignment horizontal="center" vertical="center" wrapText="1"/>
    </x:xf>
    <x:xf numFmtId="0" fontId="26" fillId="12" borderId="23" xfId="0" applyNumberFormat="1" applyFont="1" applyFill="1" applyBorder="1" applyAlignment="1">
      <x:alignment horizontal="center" vertical="center" wrapText="1"/>
    </x:xf>
    <x:xf numFmtId="200" fontId="26" fillId="12" borderId="23" xfId="0" applyNumberFormat="1" applyFont="1" applyFill="1" applyBorder="1" applyAlignment="1">
      <x:alignment horizontal="center" vertical="center" wrapText="1"/>
    </x:xf>
    <x:xf numFmtId="201" fontId="26" fillId="12" borderId="23" xfId="0" applyNumberFormat="1" applyFont="1" applyFill="1" applyBorder="1" applyAlignment="1">
      <x:alignment horizontal="center" vertical="center" wrapText="1"/>
    </x:xf>
    <x:xf numFmtId="202" fontId="26" fillId="12" borderId="23" xfId="0" applyNumberFormat="1" applyFont="1" applyFill="1" applyBorder="1" applyAlignment="1">
      <x:alignment horizontal="center" vertical="center" wrapText="1"/>
    </x:xf>
    <x:xf numFmtId="201" fontId="17" fillId="11" borderId="12" xfId="0" applyNumberFormat="1" applyFont="1" applyFill="1" applyBorder="1" applyAlignment="1">
      <x:alignment horizontal="center" vertical="center" wrapText="1"/>
    </x:xf>
    <x:xf numFmtId="201" fontId="27" fillId="11" borderId="12" xfId="0" applyNumberFormat="1" applyFont="1" applyFill="1" applyBorder="1" applyAlignment="1">
      <x:alignment horizontal="center" vertical="center" wrapText="1"/>
    </x:xf>
    <x:xf numFmtId="202" fontId="17" fillId="11" borderId="12" xfId="0" applyNumberFormat="1" applyFont="1" applyFill="1" applyBorder="1" applyAlignment="1">
      <x:alignment horizontal="center" vertical="center" wrapText="1"/>
    </x:xf>
    <x:xf numFmtId="202" fontId="27" fillId="11" borderId="12" xfId="0" applyNumberFormat="1" applyFont="1" applyFill="1" applyBorder="1" applyAlignment="1">
      <x:alignment horizontal="center" vertical="center" wrapText="1"/>
    </x:xf>
    <x:xf numFmtId="202" fontId="15" fillId="0" borderId="0" xfId="0" applyNumberFormat="1" applyFont="1" applyFill="1" applyBorder="1"/>
    <x:xf numFmtId="200" fontId="25" fillId="7" borderId="12" xfId="0" applyNumberFormat="1" applyFont="1" applyFill="1" applyBorder="1" applyAlignment="1">
      <x:alignment horizontal="center" vertical="center" wrapText="1"/>
    </x:xf>
    <x:xf numFmtId="200" fontId="25" fillId="7" borderId="22" xfId="0" applyNumberFormat="1" applyFont="1" applyFill="1" applyBorder="1" applyAlignment="1">
      <x:alignment horizontal="center" vertical="center" wrapText="1"/>
    </x:xf>
    <x:xf numFmtId="200" fontId="25" fillId="11" borderId="22" xfId="0" applyNumberFormat="1" applyFont="1" applyFill="1" applyBorder="1" applyAlignment="1">
      <x:alignment horizontal="center" vertical="center" wrapText="1"/>
    </x:xf>
    <x:xf numFmtId="200" fontId="27" fillId="11" borderId="22" xfId="0" applyNumberFormat="1" applyFont="1" applyFill="1" applyBorder="1" applyAlignment="1">
      <x:alignment horizontal="center" vertical="center" wrapText="1"/>
    </x:xf>
    <x:xf numFmtId="0" fontId="14" fillId="13" borderId="10" xfId="0" applyNumberFormat="1" applyFont="1" applyFill="1" applyBorder="1" applyAlignment="1">
      <x:alignment horizontal="center" vertical="center"/>
    </x:xf>
    <x:xf numFmtId="0" fontId="15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1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 applyAlignment="1">
      <x:alignment horizontal="left"/>
    </x:xf>
    <x:xf numFmtId="0" fontId="14" fillId="13" borderId="0" xfId="0" applyNumberFormat="1" applyFont="1" applyFill="1" applyBorder="1" applyAlignment="1">
      <x:alignment horizontal="left" vertical="center"/>
    </x:xf>
    <x:xf numFmtId="0" fontId="14" fillId="13" borderId="24" xfId="0" applyNumberFormat="1" applyFont="1" applyFill="1" applyBorder="1" applyAlignment="1">
      <x:alignment horizontal="left" vertical="center"/>
    </x:xf>
    <x:xf numFmtId="0" fontId="14" fillId="13" borderId="25" xfId="0" applyNumberFormat="1" applyFont="1" applyFill="1" applyBorder="1" applyAlignment="1">
      <x:alignment horizontal="left" vertical="center"/>
    </x:xf>
    <x:xf numFmtId="0" fontId="14" fillId="13" borderId="26" xfId="0" applyNumberFormat="1" applyFont="1" applyFill="1" applyBorder="1" applyAlignment="1">
      <x:alignment horizontal="left" vertical="center"/>
    </x:xf>
    <x:xf numFmtId="0" fontId="15" fillId="8" borderId="0" xfId="0" applyNumberFormat="1" applyFont="1" applyFill="1" applyBorder="1"/>
    <x:xf numFmtId="0" fontId="18" fillId="8" borderId="0" xfId="0" applyNumberFormat="1" applyFont="1" applyFill="1" applyBorder="1"/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horizontal="center" wrapText="1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center" wrapText="1"/>
    </x:xf>
    <x:xf numFmtId="0" fontId="25" fillId="0" borderId="22" xfId="0" applyNumberFormat="1" applyFont="1" applyFill="1" applyBorder="1" applyAlignment="1">
      <x:alignment vertical="center" wrapText="1"/>
    </x:xf>
    <x:xf numFmtId="0" fontId="25" fillId="11" borderId="22" xfId="0" applyNumberFormat="1" applyFont="1" applyFill="1" applyBorder="1" applyAlignment="1">
      <x:alignment vertical="center" wrapText="1"/>
    </x:xf>
    <x:xf numFmtId="0" fontId="27" fillId="11" borderId="22" xfId="0" applyNumberFormat="1" applyFont="1" applyFill="1" applyBorder="1" applyAlignment="1">
      <x:alignment vertical="center" wrapText="1"/>
    </x:xf>
    <x:xf numFmtId="0" fontId="25" fillId="12" borderId="22" xfId="0" applyNumberFormat="1" applyFont="1" applyFill="1" applyBorder="1" applyAlignment="1">
      <x:alignment vertical="center" wrapText="1"/>
    </x:xf>
    <x:xf numFmtId="0" fontId="26" fillId="12" borderId="22" xfId="0" applyNumberFormat="1" applyFont="1" applyFill="1" applyBorder="1" applyAlignment="1">
      <x:alignment vertical="center" wrapText="1"/>
    </x:xf>
    <x:xf numFmtId="0" fontId="26" fillId="12" borderId="23" xfId="0" applyNumberFormat="1" applyFont="1" applyFill="1" applyBorder="1" applyAlignment="1">
      <x:alignment vertical="center" wrapText="1"/>
    </x:xf>
    <x:xf numFmtId="202" fontId="27" fillId="11" borderId="22" xfId="0" applyNumberFormat="1" applyFont="1" applyFill="1" applyBorder="1" applyAlignment="1">
      <x:alignment vertical="center" wrapText="1"/>
    </x:xf>
    <x:xf numFmtId="202" fontId="26" fillId="12" borderId="23" xfId="0" applyNumberFormat="1" applyFont="1" applyFill="1" applyBorder="1" applyAlignment="1">
      <x:alignment vertical="center" wrapText="1"/>
    </x:xf>
    <x:xf numFmtId="203" fontId="25" fillId="4" borderId="12" xfId="0" applyNumberFormat="1" applyFont="1" applyFill="1" applyBorder="1" applyAlignment="1">
      <x:alignment horizontal="center" vertical="center" wrapText="1"/>
    </x:xf>
    <x:xf numFmtId="204" fontId="25" fillId="4" borderId="12" xfId="0" applyNumberFormat="1" applyFont="1" applyFill="1" applyBorder="1" applyAlignment="1">
      <x:alignment horizontal="center" vertical="center" wrapText="1"/>
    </x:xf>
    <x:xf numFmtId="203" fontId="26" fillId="3" borderId="14" xfId="0" applyNumberFormat="1" applyFont="1" applyFill="1" applyBorder="1" applyAlignment="1">
      <x:alignment horizontal="center" vertical="center" wrapText="1"/>
    </x:xf>
    <x:xf numFmtId="204" fontId="26" fillId="3" borderId="14" xfId="0" applyNumberFormat="1" applyFont="1" applyFill="1" applyBorder="1" applyAlignment="1">
      <x:alignment horizontal="center" vertical="center" wrapText="1"/>
    </x:xf>
    <x:xf numFmtId="203" fontId="25" fillId="4" borderId="22" xfId="0" applyNumberFormat="1" applyFont="1" applyFill="1" applyBorder="1" applyAlignment="1">
      <x:alignment horizontal="center" vertical="center" wrapText="1"/>
    </x:xf>
    <x:xf numFmtId="204" fontId="25" fillId="4" borderId="22" xfId="0" applyNumberFormat="1" applyFont="1" applyFill="1" applyBorder="1" applyAlignment="1">
      <x:alignment horizontal="center" vertical="center" wrapText="1"/>
    </x:xf>
    <x:xf numFmtId="203" fontId="26" fillId="3" borderId="22" xfId="0" applyNumberFormat="1" applyFont="1" applyFill="1" applyBorder="1" applyAlignment="1">
      <x:alignment horizontal="center" vertical="center" wrapText="1"/>
    </x:xf>
    <x:xf numFmtId="204" fontId="26" fillId="3" borderId="22" xfId="0" applyNumberFormat="1" applyFont="1" applyFill="1" applyBorder="1" applyAlignment="1">
      <x:alignment horizontal="center" vertical="center" wrapText="1"/>
    </x:xf>
    <x:xf numFmtId="203" fontId="25" fillId="10" borderId="22" xfId="0" applyNumberFormat="1" applyFont="1" applyFill="1" applyBorder="1" applyAlignment="1">
      <x:alignment horizontal="center" vertical="center" wrapText="1"/>
    </x:xf>
    <x:xf numFmtId="204" fontId="25" fillId="10" borderId="22" xfId="0" applyNumberFormat="1" applyFont="1" applyFill="1" applyBorder="1" applyAlignment="1">
      <x:alignment horizontal="center" vertical="center" wrapText="1"/>
    </x:xf>
    <x:xf numFmtId="203" fontId="26" fillId="12" borderId="22" xfId="0" applyNumberFormat="1" applyFont="1" applyFill="1" applyBorder="1" applyAlignment="1">
      <x:alignment horizontal="center" vertical="center" wrapText="1"/>
    </x:xf>
    <x:xf numFmtId="204" fontId="26" fillId="12" borderId="22" xfId="0" applyNumberFormat="1" applyFont="1" applyFill="1" applyBorder="1" applyAlignment="1">
      <x:alignment horizontal="center" vertical="center" wrapText="1"/>
    </x:xf>
    <x:xf numFmtId="203" fontId="26" fillId="12" borderId="23" xfId="0" applyNumberFormat="1" applyFont="1" applyFill="1" applyBorder="1" applyAlignment="1">
      <x:alignment horizontal="center" vertical="center" wrapText="1"/>
    </x:xf>
    <x:xf numFmtId="204" fontId="26" fillId="12" borderId="23" xfId="0" applyNumberFormat="1" applyFont="1" applyFill="1" applyBorder="1" applyAlignment="1">
      <x:alignment horizontal="center" vertical="center" wrapText="1"/>
    </x:xf>
    <x:xf numFmtId="0" fontId="14" fillId="13" borderId="27" xfId="0" applyNumberFormat="1" applyFont="1" applyFill="1" applyBorder="1" applyAlignment="1">
      <x:alignment horizontal="left" vertical="center"/>
    </x:xf>
    <x:xf numFmtId="0" fontId="14" fillId="13" borderId="28" xfId="0" applyNumberFormat="1" applyFont="1" applyFill="1" applyBorder="1" applyAlignment="1">
      <x:alignment horizontal="left" vertical="center"/>
    </x:xf>
    <x:xf numFmtId="0" fontId="16" fillId="12" borderId="12" xfId="0" applyNumberFormat="1" applyFont="1" applyFill="1" applyBorder="1" applyAlignment="1">
      <x:alignment horizontal="left" vertical="center" wrapText="1"/>
    </x:xf>
    <x:xf numFmtId="202" fontId="17" fillId="12" borderId="12" xfId="0" applyNumberFormat="1" applyFont="1" applyFill="1" applyBorder="1" applyAlignment="1">
      <x:alignment horizontal="center" vertical="center" wrapText="1"/>
    </x:xf>
    <x:xf numFmtId="202" fontId="16" fillId="12" borderId="12" xfId="0" applyNumberFormat="1" applyFont="1" applyFill="1" applyBorder="1" applyAlignment="1">
      <x:alignment horizontal="left" vertical="center" wrapText="1"/>
    </x:xf>
    <x:xf numFmtId="0" fontId="26" fillId="12" borderId="12" xfId="0" applyNumberFormat="1" applyFont="1" applyFill="1" applyBorder="1" applyAlignment="1">
      <x:alignment horizontal="left" vertical="center" wrapText="1"/>
    </x:xf>
    <x:xf numFmtId="202" fontId="26" fillId="12" borderId="12" xfId="0" applyNumberFormat="1" applyFont="1" applyFill="1" applyBorder="1" applyAlignment="1">
      <x:alignment horizontal="center" vertical="center" wrapText="1"/>
    </x:xf>
    <x:xf numFmtId="202" fontId="26" fillId="12" borderId="12" xfId="0" applyNumberFormat="1" applyFont="1" applyFill="1" applyBorder="1" applyAlignment="1">
      <x:alignment horizontal="left" vertical="center" wrapText="1"/>
    </x:xf>
    <x:xf numFmtId="0" fontId="26" fillId="12" borderId="23" xfId="0" applyNumberFormat="1" applyFont="1" applyFill="1" applyBorder="1" applyAlignment="1">
      <x:alignment horizontal="left" vertical="center" wrapText="1"/>
    </x:xf>
    <x:xf numFmtId="202" fontId="26" fillId="12" borderId="23" xfId="0" applyNumberFormat="1" applyFont="1" applyFill="1" applyBorder="1" applyAlignment="1">
      <x:alignment horizontal="left" vertical="center" wrapText="1"/>
    </x:xf>
    <x:xf numFmtId="202" fontId="26" fillId="11" borderId="23" xfId="0" applyNumberFormat="1" applyFont="1" applyFill="1" applyBorder="1" applyAlignment="1">
      <x:alignment horizontal="center" vertical="center" wrapText="1"/>
    </x:xf>
    <x:xf numFmtId="202" fontId="28" fillId="11" borderId="23" xfId="0" applyNumberFormat="1" applyFont="1" applyFill="1" applyBorder="1" applyAlignment="1">
      <x:alignment horizontal="center" vertical="center" wrapText="1"/>
    </x:xf>
    <x:xf numFmtId="202" fontId="28" fillId="11" borderId="22" xfId="0" applyNumberFormat="1" applyFont="1" applyFill="1" applyBorder="1" applyAlignment="1">
      <x:alignment horizontal="center" vertical="center" wrapText="1"/>
    </x:xf>
    <x:xf numFmtId="0" fontId="17" fillId="10" borderId="12" xfId="0" applyNumberFormat="1" applyFont="1" applyFill="1" applyBorder="1" applyAlignment="1">
      <x:alignment horizontal="left" vertical="center" wrapText="1"/>
    </x:xf>
    <x:xf numFmtId="0" fontId="17" fillId="10" borderId="22" xfId="0" applyNumberFormat="1" applyFont="1" applyFill="1" applyBorder="1" applyAlignment="1">
      <x:alignment horizontal="left" vertical="center" wrapText="1"/>
    </x:xf>
    <x:xf numFmtId="0" fontId="16" fillId="10" borderId="12" xfId="0" applyNumberFormat="1" applyFont="1" applyFill="1" applyBorder="1" applyAlignment="1">
      <x:alignment horizontal="left" vertical="center" wrapText="1"/>
    </x:xf>
    <x:xf numFmtId="0" fontId="16" fillId="10" borderId="22" xfId="0" applyNumberFormat="1" applyFont="1" applyFill="1" applyBorder="1" applyAlignment="1">
      <x:alignment horizontal="left" vertical="center" wrapText="1"/>
    </x:xf>
    <x:xf numFmtId="0" fontId="24" fillId="10" borderId="12" xfId="0" applyNumberFormat="1" applyFont="1" applyFill="1" applyBorder="1" applyAlignment="1">
      <x:alignment horizontal="left" vertical="center" wrapText="1"/>
    </x:xf>
    <x:xf numFmtId="0" fontId="24" fillId="10" borderId="22" xfId="0" applyNumberFormat="1" applyFont="1" applyFill="1" applyBorder="1" applyAlignment="1">
      <x:alignment horizontal="left" vertical="center" wrapText="1"/>
    </x:xf>
    <x:xf numFmtId="0" fontId="14" fillId="13" borderId="29" xfId="0" applyNumberFormat="1" applyFont="1" applyFill="1" applyBorder="1" applyAlignment="1">
      <x:alignment horizontal="left" vertical="center"/>
    </x:xf>
    <x:xf numFmtId="0" fontId="23" fillId="13" borderId="14" xfId="0" applyNumberFormat="1" applyFont="1" applyFill="1" applyBorder="1" applyAlignment="1">
      <x:alignment horizontal="center" vertical="center" wrapText="1"/>
    </x:xf>
    <x:xf numFmtId="0" fontId="14" fillId="13" borderId="14" xfId="0" applyNumberFormat="1" applyFont="1" applyFill="1" applyBorder="1" applyAlignment="1">
      <x:alignment horizontal="center" vertical="center" wrapText="1"/>
    </x:xf>
    <x:xf numFmtId="0" fontId="14" fillId="13" borderId="14" xfId="0" applyNumberFormat="1" applyFont="1" applyFill="1" applyBorder="1" applyAlignment="1">
      <x:alignment horizontal="left" vertical="center" wrapText="1"/>
    </x:xf>
    <x:xf numFmtId="0" fontId="14" fillId="13" borderId="30" xfId="0" applyNumberFormat="1" applyFont="1" applyFill="1" applyBorder="1" applyAlignment="1">
      <x:alignment horizontal="left" vertical="center" wrapText="1"/>
    </x:xf>
    <x:xf numFmtId="0" fontId="14" fillId="13" borderId="3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29" fillId="8" borderId="16" xfId="0" applyNumberFormat="1" applyFont="1" applyFill="1" applyBorder="1" applyAlignment="1">
      <x:alignment horizontal="center" vertical="center"/>
    </x:xf>
    <x:xf numFmtId="0" fontId="29" fillId="8" borderId="17" xfId="0" applyNumberFormat="1" applyFont="1" applyFill="1" applyBorder="1" applyAlignment="1">
      <x:alignment horizontal="center" vertical="center"/>
    </x:xf>
    <x:xf numFmtId="0" fontId="29" fillId="8" borderId="18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0" fillId="14" borderId="0" xfId="0" applyNumberFormat="1" applyFont="1" applyFill="1" applyBorder="1"/>
    <x:xf numFmtId="0" fontId="30" fillId="14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22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vertical="center" wrapText="1"/>
    </x:xf>
    <x:xf numFmtId="0" fontId="31" fillId="0" borderId="22" xfId="0" applyNumberFormat="1" applyFont="1" applyFill="1" applyBorder="1" applyAlignment="1">
      <x:alignment vertical="center" wrapText="1"/>
    </x:xf>
    <x:xf numFmtId="0" fontId="31" fillId="10" borderId="22" xfId="0" applyNumberFormat="1" applyFont="1" applyFill="1" applyBorder="1" applyAlignment="1">
      <x:alignment vertical="center" wrapText="1"/>
    </x:xf>
    <x:xf numFmtId="0" fontId="31" fillId="11" borderId="22" xfId="0" applyNumberFormat="1" applyFont="1" applyFill="1" applyBorder="1" applyAlignment="1">
      <x:alignment vertical="center" wrapText="1"/>
    </x:xf>
    <x:xf numFmtId="0" fontId="32" fillId="11" borderId="22" xfId="0" applyNumberFormat="1" applyFont="1" applyFill="1" applyBorder="1" applyAlignment="1">
      <x:alignment vertical="center" wrapText="1"/>
    </x:xf>
    <x:xf numFmtId="0" fontId="13" fillId="12" borderId="4" xfId="0" applyNumberFormat="1" applyFont="1" applyFill="1" applyBorder="1" applyAlignment="1">
      <x:alignment horizontal="left" vertical="center"/>
    </x:xf>
    <x:xf numFmtId="0" fontId="13" fillId="12" borderId="5" xfId="0" applyNumberFormat="1" applyFont="1" applyFill="1" applyBorder="1" applyAlignment="1">
      <x:alignment horizontal="left" vertical="center"/>
    </x:xf>
    <x:xf numFmtId="0" fontId="13" fillId="12" borderId="6" xfId="0" applyNumberFormat="1" applyFont="1" applyFill="1" applyBorder="1" applyAlignment="1">
      <x:alignment horizontal="left" vertical="center"/>
    </x:xf>
    <x:xf numFmtId="0" fontId="33" fillId="12" borderId="4" xfId="0" applyNumberFormat="1" applyFont="1" applyFill="1" applyBorder="1" applyAlignment="1">
      <x:alignment horizontal="left" vertical="center"/>
    </x:xf>
    <x:xf numFmtId="0" fontId="33" fillId="12" borderId="5" xfId="0" applyNumberFormat="1" applyFont="1" applyFill="1" applyBorder="1" applyAlignment="1">
      <x:alignment horizontal="left" vertical="center"/>
    </x:xf>
    <x:xf numFmtId="0" fontId="33" fillId="12" borderId="6" xfId="0" applyNumberFormat="1" applyFont="1" applyFill="1" applyBorder="1" applyAlignment="1">
      <x:alignment horizontal="left" vertical="center"/>
    </x:xf>
    <x:xf numFmtId="0" fontId="33" fillId="12" borderId="4" xfId="0" applyNumberFormat="1" applyFont="1" applyFill="1" applyBorder="1" applyAlignment="1">
      <x:alignment horizontal="left" vertical="center" wrapText="1"/>
    </x:xf>
    <x:xf numFmtId="0" fontId="33" fillId="12" borderId="5" xfId="0" applyNumberFormat="1" applyFont="1" applyFill="1" applyBorder="1" applyAlignment="1">
      <x:alignment horizontal="left" vertical="center" wrapText="1"/>
    </x:xf>
    <x:xf numFmtId="0" fontId="33" fillId="12" borderId="6" xfId="0" applyNumberFormat="1" applyFont="1" applyFill="1" applyBorder="1" applyAlignment="1">
      <x:alignment horizontal="left" vertical="center" wrapText="1"/>
    </x:xf>
    <x:xf numFmtId="0" fontId="33" fillId="12" borderId="32" xfId="0" applyNumberFormat="1" applyFont="1" applyFill="1" applyBorder="1" applyAlignment="1">
      <x:alignment horizontal="left" vertical="center" wrapText="1"/>
    </x:xf>
    <x:xf numFmtId="0" fontId="33" fillId="12" borderId="33" xfId="0" applyNumberFormat="1" applyFont="1" applyFill="1" applyBorder="1" applyAlignment="1">
      <x:alignment horizontal="left" vertical="center" wrapText="1"/>
    </x:xf>
    <x:xf numFmtId="0" fontId="33" fillId="12" borderId="34" xfId="0" applyNumberFormat="1" applyFont="1" applyFill="1" applyBorder="1" applyAlignment="1">
      <x:alignment horizontal="left" vertical="center" wrapText="1"/>
    </x:xf>
    <x:xf numFmtId="0" fontId="14" fillId="15" borderId="10" xfId="0" applyNumberFormat="1" applyFont="1" applyFill="1" applyBorder="1" applyAlignment="1">
      <x:alignment horizontal="center" vertical="center"/>
    </x:xf>
    <x:xf numFmtId="202" fontId="28" fillId="12" borderId="22" xfId="0" applyNumberFormat="1" applyFont="1" applyFill="1" applyBorder="1" applyAlignment="1">
      <x:alignment horizontal="center" vertical="center" wrapText="1"/>
    </x:xf>
    <x:xf numFmtId="202" fontId="34" fillId="12" borderId="22" xfId="0" applyNumberFormat="1" applyFont="1" applyFill="1" applyBorder="1" applyAlignment="1">
      <x:alignment horizontal="center" vertical="center" wrapText="1"/>
    </x:xf>
    <x:xf numFmtId="202" fontId="34" fillId="12" borderId="23" xfId="0" applyNumberFormat="1" applyFont="1" applyFill="1" applyBorder="1" applyAlignment="1">
      <x:alignment horizontal="center" vertical="center" wrapText="1"/>
    </x:xf>
    <x:xf numFmtId="202" fontId="34" fillId="11" borderId="23" xfId="0" applyNumberFormat="1" applyFont="1" applyFill="1" applyBorder="1" applyAlignment="1">
      <x:alignment horizontal="center" vertical="center" wrapText="1"/>
    </x:xf>
    <x:xf numFmtId="0" fontId="16" fillId="15" borderId="12" xfId="0" applyNumberFormat="1" applyFont="1" applyFill="1" applyBorder="1" applyAlignment="1">
      <x:alignment horizontal="left" vertical="center" wrapText="1"/>
    </x:xf>
    <x:xf numFmtId="0" fontId="17" fillId="15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6376e4e3d408c" /><Relationship Type="http://schemas.openxmlformats.org/officeDocument/2006/relationships/theme" Target="/xl/theme/theme1.xml" Id="Rf3e889b37e9b484e" /><Relationship Type="http://schemas.openxmlformats.org/officeDocument/2006/relationships/sharedStrings" Target="/xl/sharedStrings.xml" Id="Rb100bf8c56a1457a" /><Relationship Type="http://schemas.openxmlformats.org/officeDocument/2006/relationships/worksheet" Target="/xl/worksheets/sheet1.xml" Id="R6fc248a8a15e4228" /><Relationship Type="http://schemas.openxmlformats.org/officeDocument/2006/relationships/worksheet" Target="/xl/worksheets/sheet2.xml" Id="R9e3364f722584500" /><Relationship Type="http://schemas.openxmlformats.org/officeDocument/2006/relationships/worksheet" Target="/xl/worksheets/sheet3.xml" Id="R24021dd691ad4451" /><Relationship Type="http://schemas.openxmlformats.org/officeDocument/2006/relationships/worksheet" Target="/xl/worksheets/sheet4.xml" Id="Rd6b4fc3df9a24089" /></Relationships>
</file>

<file path=xl/tables/table1.xml><?xml version="1.0" encoding="utf-8"?>
<x:table xmlns:x="http://schemas.openxmlformats.org/spreadsheetml/2006/main" id="1" name="CI_LineItems" displayName="CI_LineItems" ref="A17:M37" headerRowCount="1">
  <x:tableColumns count="13">
    <x:tableColumn id="1" name="Line No"/>
    <x:tableColumn id="2" name="SKU"/>
    <x:tableColumn id="3" name="Product Name"/>
    <x:tableColumn id="4" name="HS/CN Code"/>
    <x:tableColumn id="5" name="Quantity"/>
    <x:tableColumn id="6" name="Unit"/>
    <x:tableColumn id="7" name="Unit Price"/>
    <x:tableColumn id="8" name="Amount"/>
    <x:tableColumn id="9" name="Currency"/>
    <x:tableColumn id="10" name="Embedded Carbon Intensity kg CO2e/unit"/>
    <x:tableColumn id="11" name="Total Embedded Carbon kgCO2e"/>
    <x:tableColumn id="12" name="Total Embedded Carbon tCO2e"/>
    <x:tableColumn id="13" name="DPP QR Link"/>
  </x:tableColumns>
  <x:tableStyleInfo name="TableStyleMedium2" showRowStripes="1"/>
</x:table>
</file>

<file path=xl/tables/table2.xml><?xml version="1.0" encoding="utf-8"?>
<x:table xmlns:x="http://schemas.openxmlformats.org/spreadsheetml/2006/main" id="5" name="tbl_CI_LineItems" displayName="tbl_CI_LineItems" ref="A17:M37" headerRowCount="1">
  <x:tableColumns count="13">
    <x:tableColumn id="1" name="Line No"/>
    <x:tableColumn id="2" name="SKU&#10;INPUT"/>
    <x:tableColumn id="3" name="Product Name&#10;INPUT"/>
    <x:tableColumn id="4" name="HS/CN Code&#10;INPUT"/>
    <x:tableColumn id="5" name="Quantity&#10;INPUT"/>
    <x:tableColumn id="6" name="Unit&#10;INPUT"/>
    <x:tableColumn id="7" name="Unit Price&#10;INPUT"/>
    <x:tableColumn id="8" name="Amount&#10;FORMULA / DO NOT OVERWRITE"/>
    <x:tableColumn id="9" name="Currency&#10;INPUT"/>
    <x:tableColumn id="10" name="Embedded Carbon Intensity kg CO2e/unit&#10;INPUT"/>
    <x:tableColumn id="11" name="Total Embedded Carbon kgCO2e&#10;FORMULA / DO NOT OVERWRITE"/>
    <x:tableColumn id="12" name="Total Embedded Carbon tCO2e&#10;FORMULA / DO NOT OVERWRITE"/>
    <x:tableColumn id="13" name="DPP QR Link&#10;INPUT"/>
  </x:tableColumns>
  <x:tableStyleInfo name="TableStyleMedium2" showRowStripes="1"/>
</x:table>
</file>

<file path=xl/tables/table3.xml><?xml version="1.0" encoding="utf-8"?>
<x:table xmlns:x="http://schemas.openxmlformats.org/spreadsheetml/2006/main" id="2" name="PL_CartonLines" displayName="PL_CartonLines" ref="A17:N37" headerRowCount="1">
  <x:tableColumns count="14">
    <x:tableColumn id="1" name="Line No"/>
    <x:tableColumn id="2" name="SKU"/>
    <x:tableColumn id="3" name="Carton No"/>
    <x:tableColumn id="4" name="Container No"/>
    <x:tableColumn id="5" name="Quantity per Carton"/>
    <x:tableColumn id="6" name="No. of Cartons"/>
    <x:tableColumn id="7" name="Total Quantity"/>
    <x:tableColumn id="8" name="Gross Weight kg"/>
    <x:tableColumn id="9" name="Net Weight kg"/>
    <x:tableColumn id="10" name="CBM"/>
    <x:tableColumn id="11" name="Embedded Carbon per Carton kgCO2e"/>
    <x:tableColumn id="12" name="Total Carton Carbon kgCO2e"/>
    <x:tableColumn id="13" name="Total Carton Carbon tCO2e"/>
    <x:tableColumn id="14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PL_ContainerSummary" displayName="PL_ContainerSummary" ref="A42:G48" headerRowCount="1">
  <x:tableColumns count="7">
    <x:tableColumn id="1" name="Container No"/>
    <x:tableColumn id="2" name="Total Quantity"/>
    <x:tableColumn id="3" name="Gross Weight kg"/>
    <x:tableColumn id="4" name="Net Weight kg"/>
    <x:tableColumn id="5" name="CBM"/>
    <x:tableColumn id="6" name="Carton Carbon kgCO2e"/>
    <x:tableColumn id="7" name="Carton Carbon tCO2e"/>
  </x:tableColumns>
  <x:tableStyleInfo name="TableStyleMedium2" showRowStripes="1"/>
</x:table>
</file>

<file path=xl/tables/table5.xml><?xml version="1.0" encoding="utf-8"?>
<x:table xmlns:x="http://schemas.openxmlformats.org/spreadsheetml/2006/main" id="6" name="tbl_PL_CartonLines" displayName="tbl_PL_CartonLines" ref="A17:N37" headerRowCount="1">
  <x:tableColumns count="14">
    <x:tableColumn id="1" name="Line No"/>
    <x:tableColumn id="2" name="SKU&#10;INPUT"/>
    <x:tableColumn id="3" name="Carton No&#10;INPUT"/>
    <x:tableColumn id="4" name="Container No&#10;INPUT"/>
    <x:tableColumn id="5" name="Quantity per Carton&#10;INPUT"/>
    <x:tableColumn id="6" name="No. of Cartons&#10;INPUT"/>
    <x:tableColumn id="7" name="Total Quantity&#10;FORMULA / DO NOT OVERWRITE"/>
    <x:tableColumn id="8" name="Gross Weight kg&#10;INPUT"/>
    <x:tableColumn id="9" name="Net Weight kg&#10;INPUT"/>
    <x:tableColumn id="10" name="CBM&#10;INPUT"/>
    <x:tableColumn id="11" name="Embedded Carbon per Carton kgCO2e&#10;INPUT"/>
    <x:tableColumn id="12" name="Total Carton Carbon kgCO2e&#10;FORMULA / DO NOT OVERWRITE"/>
    <x:tableColumn id="13" name="Total Carton Carbon tCO2e&#10;FORMULA / DO NOT OVERWRITE"/>
    <x:tableColumn id="14" name="Notes&#10;INPUT"/>
  </x:tableColumns>
  <x:tableStyleInfo name="TableStyleMedium2" showRowStripes="1"/>
</x:table>
</file>

<file path=xl/tables/table6.xml><?xml version="1.0" encoding="utf-8"?>
<x:table xmlns:x="http://schemas.openxmlformats.org/spreadsheetml/2006/main" id="7" name="tbl_PL_ContainerSummary" displayName="tbl_PL_ContainerSummary" ref="A42:H49" headerRowCount="1">
  <x:tableColumns count="8">
    <x:tableColumn id="1" name="Container No&#10;INPUT"/>
    <x:tableColumn id="2" name="Total Cartons&#10;FORMULA / DO NOT OVERWRITE"/>
    <x:tableColumn id="3" name="Total Quantity&#10;FORMULA / DO NOT OVERWRITE"/>
    <x:tableColumn id="4" name="Gross Weight kg&#10;FORMULA / DO NOT OVERWRITE"/>
    <x:tableColumn id="5" name="Net Weight kg&#10;FORMULA / DO NOT OVERWRITE"/>
    <x:tableColumn id="6" name="CBM&#10;FORMULA / DO NOT OVERWRITE"/>
    <x:tableColumn id="7" name="Total Carton Carbon kgCO2e&#10;FORMULA / DO NOT OVERWRITE"/>
    <x:tableColumn id="8" name="Total Carton Carbon tCO2e&#10;FORMULA / DO NOT OVERWRITE"/>
  </x:tableColumns>
  <x:tableStyleInfo name="TableStyleMedium2" showRowStripes="1"/>
</x:table>
</file>

<file path=xl/tables/table7.xml><?xml version="1.0" encoding="utf-8"?>
<x:table xmlns:x="http://schemas.openxmlformats.org/spreadsheetml/2006/main" id="4" name="BL_CarbonLegs" displayName="BL_CarbonLegs" ref="A17:P37" headerRowCount="1">
  <x:tableColumns count="16">
    <x:tableColumn id="1" name="Line No"/>
    <x:tableColumn id="2" name="B/L No"/>
    <x:tableColumn id="3" name="Container No"/>
    <x:tableColumn id="4" name="Route Leg"/>
    <x:tableColumn id="5" name="Origin"/>
    <x:tableColumn id="6" name="Destination"/>
    <x:tableColumn id="7" name="Transport Mode"/>
    <x:tableColumn id="8" name="Cargo Weight t"/>
    <x:tableColumn id="9" name="Distance km"/>
    <x:tableColumn id="10" name="DEFRA Factor Key"/>
    <x:tableColumn id="11" name="kg CO2e/tkm"/>
    <x:tableColumn id="12" name="Logistics CO2e kg"/>
    <x:tableColumn id="13" name="Embedded Product Carbon kgCO2e"/>
    <x:tableColumn id="14" name="Total Shipment Carbon kgCO2e"/>
    <x:tableColumn id="15" name="Total Shipment Carbon tCO2e"/>
    <x:tableColumn id="1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bl_BL_CarbonLegs" displayName="tbl_BL_CarbonLegs" ref="A17:P37" headerRowCount="1">
  <x:tableColumns count="16">
    <x:tableColumn id="1" name="Line No"/>
    <x:tableColumn id="2" name="B/L No&#10;INPUT"/>
    <x:tableColumn id="3" name="Container No&#10;INPUT"/>
    <x:tableColumn id="4" name="Route Leg&#10;INPUT"/>
    <x:tableColumn id="5" name="Origin&#10;INPUT"/>
    <x:tableColumn id="6" name="Destination&#10;INPUT"/>
    <x:tableColumn id="7" name="Transport Mode&#10;INPUT"/>
    <x:tableColumn id="8" name="Cargo Weight t&#10;INPUT"/>
    <x:tableColumn id="9" name="Distance km&#10;INPUT"/>
    <x:tableColumn id="10" name="DEFRA Factor Key&#10;INPUT"/>
    <x:tableColumn id="11" name="kg CO2e/tkm&#10;INPUT"/>
    <x:tableColumn id="12" name="Logistics CO2e kg&#10;FORMULA / DO NOT OVERWRITE"/>
    <x:tableColumn id="13" name="Embedded Product Carbon kgCO2e&#10;INPUT"/>
    <x:tableColumn id="14" name="Total Shipment Carbon kgCO2e&#10;FORMULA / DO NOT OVERWRITE"/>
    <x:tableColumn id="15" name="Total Shipment Carbon tCO2e&#10;FORMULA / DO NOT OVERWRITE"/>
    <x:tableColumn id="16" name="Notes&#10;INPUT"/>
  </x:tableColumns>
  <x:tableStyleInfo name="TableStyleMedium2" showRowStripes="1"/>
</x:table>
</file>

<file path=xl/tables/table9.xml><?xml version="1.0" encoding="utf-8"?>
<x:table xmlns:x="http://schemas.openxmlformats.org/spreadsheetml/2006/main" id="9" name="tbl_DeveloperMapping" displayName="tbl_DeveloperMapping" ref="A4:H38" headerRowCount="1">
  <x:tableColumns count="8">
    <x:tableColumn id="1" name="Backend Field"/>
    <x:tableColumn id="2" name="Sheet"/>
    <x:tableColumn id="3" name="Cell / Range"/>
    <x:tableColumn id="4" name="Named Range / Table"/>
    <x:tableColumn id="5" name="Type"/>
    <x:tableColumn id="6" name="Write Mode"/>
    <x:tableColumn id="7" name="Formula Guard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Weave Carbon">
  <a:themeElements>
    <a:clrScheme name="Weave Carbon">
      <a:dk1>
        <a:srgbClr val="0B1F1A"/>
      </a:dk1>
      <a:lt1>
        <a:srgbClr val="FFFFFF"/>
      </a:lt1>
      <a:dk2>
        <a:srgbClr val="0E2841"/>
      </a:dk2>
      <a:lt2>
        <a:srgbClr val="ECFDF5"/>
      </a:lt2>
      <a:accent1>
        <a:srgbClr val="0B3D2E"/>
      </a:accent1>
      <a:accent2>
        <a:srgbClr val="0F766E"/>
      </a:accent2>
      <a:accent3>
        <a:srgbClr val="B7E4CF"/>
      </a:accent3>
      <a:accent4>
        <a:srgbClr val="7BCFA8"/>
      </a:accent4>
      <a:accent5>
        <a:srgbClr val="38A169"/>
      </a:accent5>
      <a:accent6>
        <a:srgbClr val="134E4A"/>
      </a:accent6>
      <a:hlink>
        <a:srgbClr val="0F766E"/>
      </a:hlink>
      <a:folHlink>
        <a:srgbClr val="065F4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eave Carb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7f7336c062489f" /><Relationship Type="http://schemas.openxmlformats.org/officeDocument/2006/relationships/table" Target="/xl/tables/table2.xml" Id="Rb088cbef8f244e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db9dc060ed144f6" /><Relationship Type="http://schemas.openxmlformats.org/officeDocument/2006/relationships/table" Target="/xl/tables/table4.xml" Id="Rc116486a96f043f5" /><Relationship Type="http://schemas.openxmlformats.org/officeDocument/2006/relationships/table" Target="/xl/tables/table5.xml" Id="Rcc962442d4c947ea" /><Relationship Type="http://schemas.openxmlformats.org/officeDocument/2006/relationships/table" Target="/xl/tables/table6.xml" Id="R737cf9fef73d47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415cd318c6574d7a" /><Relationship Type="http://schemas.openxmlformats.org/officeDocument/2006/relationships/table" Target="/xl/tables/table8.xml" Id="R4b8e8734238a4d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9318ec5905bc405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 ht="30" customHeight="1">
      <x:c r="A1" s="333" t="str">
        <x:v>WEAVE CARBON | COMMERCIAL INVOICE</x:v>
      </x:c>
      <x:c r="B1" s="334"/>
      <x:c r="C1" s="334"/>
      <x:c r="D1" s="334"/>
      <x:c r="E1" s="334"/>
      <x:c r="F1" s="334"/>
      <x:c r="G1" s="334"/>
      <x:c r="H1" s="334"/>
      <x:c r="I1" s="334"/>
      <x:c r="J1" s="334"/>
      <x:c r="K1" s="334"/>
      <x:c r="L1" s="334"/>
      <x:c r="M1" s="335"/>
    </x:row>
    <x:row r="2" ht="21" customHeight="1">
      <x:c r="A2" s="261" t="str">
        <x:v>Template ID</x:v>
      </x:c>
      <x:c r="B2" s="261" t="str">
        <x:v>WC-EXP-CI-001</x:v>
      </x:c>
      <x:c r="C2" s="261" t="str">
        <x:v>Version</x:v>
      </x:c>
      <x:c r="D2" s="261" t="str">
        <x:v>v1.0</x:v>
      </x:c>
      <x:c r="E2" s="261" t="str">
        <x:v>Data Start Row</x:v>
      </x:c>
      <x:c r="F2" s="261" t="n">
        <x:v>18</x:v>
      </x:c>
      <x:c r="G2" s="261" t="str">
        <x:v>Primary Table</x:v>
      </x:c>
      <x:c r="H2" s="261" t="str">
        <x:v>CI_LineItems</x:v>
      </x:c>
      <x:c r="I2" s="261" t="str"/>
      <x:c r="J2" s="261" t="str"/>
      <x:c r="K2" s="261" t="str"/>
      <x:c r="L2" s="261" t="str"/>
      <x:c r="M2" s="261" t="str"/>
    </x:row>
    <x:row r="3" ht="20" customHeight="1">
      <x:c r="A3" s="488" t="str">
        <x:v>Developer note: fill only white / pale green input cells and table columns; keep formula cells, totals, layout, header/footer, and table names unchanged.</x:v>
      </x:c>
      <x:c r="B3" s="489"/>
      <x:c r="C3" s="489"/>
      <x:c r="D3" s="489"/>
      <x:c r="E3" s="489"/>
      <x:c r="F3" s="489"/>
      <x:c r="G3" s="489"/>
      <x:c r="H3" s="489"/>
      <x:c r="I3" s="489"/>
      <x:c r="J3" s="489"/>
      <x:c r="K3" s="489"/>
      <x:c r="L3" s="489"/>
      <x:c r="M3" s="490"/>
    </x:row>
    <x:row r="4" ht="22" customHeight="1">
      <x:c r="A4" s="399" t="str">
        <x:v>EXPORTER / SELLER</x:v>
      </x:c>
      <x:c r="B4" s="400"/>
      <x:c r="C4" s="400"/>
      <x:c r="D4" s="400"/>
      <x:c r="E4" s="400"/>
      <x:c r="F4" s="451"/>
      <x:c r="G4" s="266"/>
      <x:c r="H4" s="399" t="str">
        <x:v>BUYER / BRAND / CONSIGNEE</x:v>
      </x:c>
      <x:c r="I4" s="400"/>
      <x:c r="J4" s="400"/>
      <x:c r="K4" s="400"/>
      <x:c r="L4" s="400"/>
      <x:c r="M4" s="451"/>
    </x:row>
    <x:row r="5">
      <x:c r="A5" s="267" t="str">
        <x:v>Exporter Legal Name</x:v>
      </x:c>
      <x:c r="B5" s="446" t="str">
        <x:v>[EXPORTER_NAME]</x:v>
      </x:c>
      <x:c r="C5" s="268" t="str"/>
      <x:c r="D5" s="267" t="str">
        <x:v>Tax ID</x:v>
      </x:c>
      <x:c r="E5" s="446" t="str">
        <x:v>[EXPORTER_TAX_ID]</x:v>
      </x:c>
      <x:c r="F5" s="268" t="str"/>
      <x:c r="G5" s="266"/>
      <x:c r="H5" s="267" t="str">
        <x:v>Buyer / Brand Name</x:v>
      </x:c>
      <x:c r="I5" s="446" t="str">
        <x:v>[BUYER_BRAND_NAME]</x:v>
      </x:c>
      <x:c r="J5" s="268" t="str"/>
      <x:c r="K5" s="268" t="str"/>
      <x:c r="L5" s="268" t="str"/>
      <x:c r="M5" s="268" t="str"/>
    </x:row>
    <x:row r="6">
      <x:c r="A6" s="267" t="str">
        <x:v>Exporter Address</x:v>
      </x:c>
      <x:c r="B6" s="446" t="str">
        <x:v>[EXPORTER_ADDRESS]</x:v>
      </x:c>
      <x:c r="C6" s="268" t="str"/>
      <x:c r="D6" s="269" t="str"/>
      <x:c r="E6" s="446" t="str"/>
      <x:c r="F6" s="268" t="str"/>
      <x:c r="G6" s="266"/>
      <x:c r="H6" s="267" t="str">
        <x:v>Buyer Address</x:v>
      </x:c>
      <x:c r="I6" s="446" t="str">
        <x:v>[BUYER_ADDRESS]</x:v>
      </x:c>
      <x:c r="J6" s="268" t="str"/>
      <x:c r="K6" s="268" t="str"/>
      <x:c r="L6" s="268" t="str"/>
      <x:c r="M6" s="268" t="str"/>
    </x:row>
    <x:row r="7">
      <x:c r="A7" s="267" t="str">
        <x:v>Contact Email</x:v>
      </x:c>
      <x:c r="B7" s="446" t="str">
        <x:v>[EXPORTER_EMAIL]</x:v>
      </x:c>
      <x:c r="C7" s="268" t="str"/>
      <x:c r="D7" s="267" t="str">
        <x:v>Country</x:v>
      </x:c>
      <x:c r="E7" s="446" t="str">
        <x:v>[EXPORTER_COUNTRY]</x:v>
      </x:c>
      <x:c r="F7" s="268" t="str"/>
      <x:c r="G7" s="266"/>
      <x:c r="H7" s="267" t="str">
        <x:v>Consignee</x:v>
      </x:c>
      <x:c r="I7" s="446" t="str">
        <x:v>[CONSIGNEE_NAME]</x:v>
      </x:c>
      <x:c r="J7" s="268" t="str"/>
      <x:c r="K7" s="268" t="str"/>
      <x:c r="L7" s="268" t="str"/>
      <x:c r="M7" s="268" t="str"/>
    </x:row>
    <x:row r="8">
      <x:c r="A8" s="267" t="str">
        <x:v>Export License No</x:v>
      </x:c>
      <x:c r="B8" s="446" t="str">
        <x:v>[EXPORT_LICENSE_NO]</x:v>
      </x:c>
      <x:c r="C8" s="268" t="str"/>
      <x:c r="D8" s="267" t="str">
        <x:v>Prepared Date</x:v>
      </x:c>
      <x:c r="E8" s="446" t="str">
        <x:v>[YYYY-MM-DD]</x:v>
      </x:c>
      <x:c r="F8" s="268" t="str"/>
      <x:c r="G8" s="266"/>
      <x:c r="H8" s="267" t="str">
        <x:v>Incoterms</x:v>
      </x:c>
      <x:c r="I8" s="446" t="str">
        <x:v>[FOB/CIF/DDP]</x:v>
      </x:c>
      <x:c r="J8" s="267" t="str">
        <x:v>Payment Term</x:v>
      </x:c>
      <x:c r="K8" s="446" t="str">
        <x:v>[PAYMENT_TERM]</x:v>
      </x:c>
      <x:c r="L8" s="448" t="str">
        <x:v>Currency</x:v>
      </x:c>
      <x:c r="M8" s="446" t="str">
        <x:v>[USD]</x:v>
      </x:c>
    </x:row>
    <x:row r="9">
      <x:c r="A9" s="266"/>
      <x:c r="B9" s="266"/>
      <x:c r="C9" s="266"/>
      <x:c r="D9" s="266"/>
      <x:c r="E9" s="266"/>
      <x:c r="F9" s="266"/>
      <x:c r="G9" s="266"/>
      <x:c r="H9" s="266"/>
      <x:c r="I9" s="266"/>
      <x:c r="J9" s="266"/>
      <x:c r="K9" s="266"/>
      <x:c r="L9" s="266"/>
      <x:c r="M9" s="266"/>
    </x:row>
    <x:row r="10" ht="22" customHeight="1">
      <x:c r="A10" s="399" t="str">
        <x:v>DOCUMENT &amp; CARBON METADATA</x:v>
      </x:c>
      <x:c r="B10" s="400"/>
      <x:c r="C10" s="400"/>
      <x:c r="D10" s="400"/>
      <x:c r="E10" s="400"/>
      <x:c r="F10" s="400"/>
      <x:c r="G10" s="400"/>
      <x:c r="H10" s="400"/>
      <x:c r="I10" s="400"/>
      <x:c r="J10" s="400"/>
      <x:c r="K10" s="400"/>
      <x:c r="L10" s="400"/>
      <x:c r="M10" s="451"/>
    </x:row>
    <x:row r="11">
      <x:c r="A11" s="267" t="str">
        <x:v>Invoice No</x:v>
      </x:c>
      <x:c r="B11" s="446" t="str">
        <x:v>[INVOICE_NO]</x:v>
      </x:c>
      <x:c r="C11" s="268" t="str"/>
      <x:c r="D11" s="267" t="str">
        <x:v>PO / Contract ID</x:v>
      </x:c>
      <x:c r="E11" s="446" t="str">
        <x:v>[PO_CONTRACT_ID]</x:v>
      </x:c>
      <x:c r="F11" s="268" t="str"/>
      <x:c r="G11" s="268" t="str"/>
      <x:c r="H11" s="267" t="str">
        <x:v>Customs Declaration No</x:v>
      </x:c>
      <x:c r="I11" s="446" t="str">
        <x:v>[CUSTOMS_DECL_NO]</x:v>
      </x:c>
      <x:c r="J11" s="268" t="str"/>
      <x:c r="K11" s="267" t="str">
        <x:v>B/L No</x:v>
      </x:c>
      <x:c r="L11" s="446" t="str">
        <x:v>[BL_NO]</x:v>
      </x:c>
      <x:c r="M11" s="268" t="str"/>
    </x:row>
    <x:row r="12">
      <x:c r="A12" s="267" t="str">
        <x:v>Container No</x:v>
      </x:c>
      <x:c r="B12" s="446" t="str">
        <x:v>[CONTAINER_NO]</x:v>
      </x:c>
      <x:c r="C12" s="268" t="str"/>
      <x:c r="D12" s="267" t="str">
        <x:v>Shipment Date</x:v>
      </x:c>
      <x:c r="E12" s="446" t="str">
        <x:v>[YYYY-MM-DD]</x:v>
      </x:c>
      <x:c r="F12" s="268" t="str"/>
      <x:c r="G12" s="268" t="str"/>
      <x:c r="H12" s="267" t="str">
        <x:v>Port of Loading</x:v>
      </x:c>
      <x:c r="I12" s="446" t="str">
        <x:v>[POL]</x:v>
      </x:c>
      <x:c r="J12" s="268" t="str"/>
      <x:c r="K12" s="267" t="str">
        <x:v>Port of Discharge</x:v>
      </x:c>
      <x:c r="L12" s="446" t="str">
        <x:v>[POD]</x:v>
      </x:c>
      <x:c r="M12" s="268" t="str"/>
    </x:row>
    <x:row r="13">
      <x:c r="A13" s="267" t="str">
        <x:v>ISO Standard</x:v>
      </x:c>
      <x:c r="B13" s="446" t="str">
        <x:v>ISO 14067</x:v>
      </x:c>
      <x:c r="C13" s="268" t="str"/>
      <x:c r="D13" s="267" t="str">
        <x:v>Emission Factor Dataset</x:v>
      </x:c>
      <x:c r="E13" s="268" t="str">
        <x:v>DEFRA 2024</x:v>
      </x:c>
      <x:c r="F13" s="268" t="str"/>
      <x:c r="G13" s="268" t="str"/>
      <x:c r="H13" s="267" t="str">
        <x:v>LCA Reference</x:v>
      </x:c>
      <x:c r="I13" s="446" t="str">
        <x:v>Ecoinvent / Higg MSI</x:v>
      </x:c>
      <x:c r="J13" s="268" t="str"/>
      <x:c r="K13" s="267" t="str">
        <x:v>Calculation Boundary</x:v>
      </x:c>
      <x:c r="L13" s="268" t="str">
        <x:v>Cradle-to-gate + logistics</x:v>
      </x:c>
      <x:c r="M13" s="268" t="str"/>
    </x:row>
    <x:row r="14">
      <x:c r="A14" s="267" t="str">
        <x:v>Payload SHA-256</x:v>
      </x:c>
      <x:c r="B14" s="446" t="str">
        <x:v>[PAYLOAD_SHA256]</x:v>
      </x:c>
      <x:c r="C14" s="268" t="str"/>
      <x:c r="D14" s="266" t="str"/>
      <x:c r="E14" s="266" t="str"/>
      <x:c r="F14" s="266" t="str"/>
      <x:c r="G14" s="266" t="str"/>
      <x:c r="H14" s="267" t="str">
        <x:v>DPP QR Link</x:v>
      </x:c>
      <x:c r="I14" s="450" t="str">
        <x:v>https://dpp.weavecarbon.com/sample/WC-DEMO-001</x:v>
      </x:c>
      <x:c r="J14" s="268" t="str"/>
      <x:c r="K14" s="266" t="str"/>
      <x:c r="L14" s="341" t="str">
        <x:v>QR_IMAGE_PLACEHOLDER</x:v>
      </x:c>
      <x:c r="M14" s="341"/>
    </x:row>
    <x:row r="15">
      <x:c r="A15" s="266"/>
      <x:c r="B15" s="266"/>
      <x:c r="C15" s="266"/>
      <x:c r="D15" s="266"/>
      <x:c r="E15" s="266"/>
      <x:c r="F15" s="266"/>
      <x:c r="G15" s="266"/>
      <x:c r="H15" s="266"/>
      <x:c r="I15" s="266"/>
      <x:c r="J15" s="266"/>
      <x:c r="K15" s="266"/>
      <x:c r="L15" s="341" t="str">
        <x:v>Backend inserts QR SVG/PNG here</x:v>
      </x:c>
      <x:c r="M15" s="341"/>
    </x:row>
    <x:row r="16" ht="22" customHeight="1">
      <x:c r="A16" s="399" t="str">
        <x:v>COMMERCIAL INVOICE LINE ITEMS</x:v>
      </x:c>
      <x:c r="B16" s="400"/>
      <x:c r="C16" s="400"/>
      <x:c r="D16" s="400"/>
      <x:c r="E16" s="400"/>
      <x:c r="F16" s="400"/>
      <x:c r="G16" s="400"/>
      <x:c r="H16" s="400"/>
      <x:c r="I16" s="400"/>
      <x:c r="J16" s="400"/>
      <x:c r="K16" s="400"/>
      <x:c r="L16" s="400"/>
      <x:c r="M16" s="451"/>
    </x:row>
    <x:row r="17" ht="38" customHeight="1">
      <x:c r="A17" s="347" t="str">
        <x:v>Line No</x:v>
      </x:c>
      <x:c r="B17" s="347" t="str">
        <x:v>SKU
INPUT</x:v>
      </x:c>
      <x:c r="C17" s="347" t="str">
        <x:v>Product Name
INPUT</x:v>
      </x:c>
      <x:c r="D17" s="347" t="str">
        <x:v>HS/CN Code
INPUT</x:v>
      </x:c>
      <x:c r="E17" s="347" t="str">
        <x:v>Quantity
INPUT</x:v>
      </x:c>
      <x:c r="F17" s="347" t="str">
        <x:v>Unit
INPUT</x:v>
      </x:c>
      <x:c r="G17" s="347" t="str">
        <x:v>Unit Price
INPUT</x:v>
      </x:c>
      <x:c r="H17" s="347" t="str">
        <x:v>Amount
FORMULA / DO NOT OVERWRITE</x:v>
      </x:c>
      <x:c r="I17" s="347" t="str">
        <x:v>Currency
INPUT</x:v>
      </x:c>
      <x:c r="J17" s="347" t="str">
        <x:v>Embedded Carbon Intensity kg CO2e/unit
INPUT</x:v>
      </x:c>
      <x:c r="K17" s="347" t="str">
        <x:v>Total Embedded Carbon kgCO2e
FORMULA / DO NOT OVERWRITE</x:v>
      </x:c>
      <x:c r="L17" s="347" t="str">
        <x:v>Total Embedded Carbon tCO2e
FORMULA / DO NOT OVERWRITE</x:v>
      </x:c>
      <x:c r="M17" s="347" t="str">
        <x:v>DPP QR Link
INPUT</x:v>
      </x:c>
    </x:row>
    <x:row r="18" ht="23" customHeight="1">
      <x:c r="A18" s="358" t="n">
        <x:v>1</x:v>
      </x:c>
      <x:c r="B18" s="368" t="str">
        <x:v>WC-TSHIRT-001</x:v>
      </x:c>
      <x:c r="C18" s="368" t="str">
        <x:v>Organic Cotton T-Shirt</x:v>
      </x:c>
      <x:c r="D18" s="368" t="str">
        <x:v>6109.10</x:v>
      </x:c>
      <x:c r="E18" s="369" t="n">
        <x:v>1200</x:v>
      </x:c>
      <x:c r="F18" s="368" t="str">
        <x:v>pcs</x:v>
      </x:c>
      <x:c r="G18" s="370" t="n">
        <x:v>4.5</x:v>
      </x:c>
      <x:c r="H18" s="373" t="n">
        <x:f>IFERROR(IF(OR(E18="",G18=""),"",E18*G18),"")</x:f>
        <x:v>5400</x:v>
      </x:c>
      <x:c r="I18" s="368" t="str">
        <x:v>USD</x:v>
      </x:c>
      <x:c r="J18" s="371" t="n">
        <x:v>2.35</x:v>
      </x:c>
      <x:c r="K18" s="375" t="n">
        <x:f>IFERROR(IF(OR(E18="",J18=""),"",E18*J18),"")</x:f>
        <x:v>2820</x:v>
      </x:c>
      <x:c r="L18" s="375" t="n">
        <x:f>IFERROR(IF(K18="","",K18/1000),"")</x:f>
        <x:v>2.82</x:v>
      </x:c>
      <x:c r="M18" s="368" t="str">
        <x:v>https://dpp.weavecarbon.com/sample/WC-DEMO-001</x:v>
      </x:c>
    </x:row>
    <x:row r="19" ht="23" customHeight="1">
      <x:c r="A19" s="358" t="n">
        <x:v>2</x:v>
      </x:c>
      <x:c r="B19" s="368" t="str"/>
      <x:c r="C19" s="368" t="str"/>
      <x:c r="D19" s="368" t="str"/>
      <x:c r="E19" s="369" t="str"/>
      <x:c r="F19" s="368" t="str"/>
      <x:c r="G19" s="370" t="str"/>
      <x:c r="H19" s="373" t="str">
        <x:f>IFERROR(IF(OR(E19="",G19=""),"",E19*G19),"")</x:f>
      </x:c>
      <x:c r="I19" s="368" t="str"/>
      <x:c r="J19" s="371" t="str"/>
      <x:c r="K19" s="375" t="str">
        <x:f>IFERROR(IF(OR(E19="",J19=""),"",E19*J19),"")</x:f>
      </x:c>
      <x:c r="L19" s="375" t="str">
        <x:f>IFERROR(IF(K19="","",K19/1000),"")</x:f>
      </x:c>
      <x:c r="M19" s="368" t="str"/>
    </x:row>
    <x:row r="20" ht="23" customHeight="1">
      <x:c r="A20" s="358" t="n">
        <x:v>3</x:v>
      </x:c>
      <x:c r="B20" s="368" t="str"/>
      <x:c r="C20" s="368" t="str"/>
      <x:c r="D20" s="368" t="str"/>
      <x:c r="E20" s="369" t="str"/>
      <x:c r="F20" s="368" t="str"/>
      <x:c r="G20" s="370" t="str"/>
      <x:c r="H20" s="373" t="str">
        <x:f>IFERROR(IF(OR(E20="",G20=""),"",E20*G20),"")</x:f>
      </x:c>
      <x:c r="I20" s="368" t="str"/>
      <x:c r="J20" s="371" t="str"/>
      <x:c r="K20" s="375" t="str">
        <x:f>IFERROR(IF(OR(E20="",J20=""),"",E20*J20),"")</x:f>
      </x:c>
      <x:c r="L20" s="375" t="str">
        <x:f>IFERROR(IF(K20="","",K20/1000),"")</x:f>
      </x:c>
      <x:c r="M20" s="368" t="str"/>
    </x:row>
    <x:row r="21" ht="23" customHeight="1">
      <x:c r="A21" s="358" t="n">
        <x:v>4</x:v>
      </x:c>
      <x:c r="B21" s="368" t="str"/>
      <x:c r="C21" s="368" t="str"/>
      <x:c r="D21" s="368" t="str"/>
      <x:c r="E21" s="369" t="str"/>
      <x:c r="F21" s="368" t="str"/>
      <x:c r="G21" s="370" t="str"/>
      <x:c r="H21" s="373" t="str">
        <x:f>IFERROR(IF(OR(E21="",G21=""),"",E21*G21),"")</x:f>
      </x:c>
      <x:c r="I21" s="368" t="str"/>
      <x:c r="J21" s="371" t="str"/>
      <x:c r="K21" s="375" t="str">
        <x:f>IFERROR(IF(OR(E21="",J21=""),"",E21*J21),"")</x:f>
      </x:c>
      <x:c r="L21" s="375" t="str">
        <x:f>IFERROR(IF(K21="","",K21/1000),"")</x:f>
      </x:c>
      <x:c r="M21" s="368" t="str"/>
    </x:row>
    <x:row r="22" ht="23" customHeight="1">
      <x:c r="A22" s="358" t="n">
        <x:v>5</x:v>
      </x:c>
      <x:c r="B22" s="368" t="str"/>
      <x:c r="C22" s="368" t="str"/>
      <x:c r="D22" s="368" t="str"/>
      <x:c r="E22" s="369" t="str"/>
      <x:c r="F22" s="368" t="str"/>
      <x:c r="G22" s="370" t="str"/>
      <x:c r="H22" s="373" t="str">
        <x:f>IFERROR(IF(OR(E22="",G22=""),"",E22*G22),"")</x:f>
      </x:c>
      <x:c r="I22" s="368" t="str"/>
      <x:c r="J22" s="371" t="str"/>
      <x:c r="K22" s="375" t="str">
        <x:f>IFERROR(IF(OR(E22="",J22=""),"",E22*J22),"")</x:f>
      </x:c>
      <x:c r="L22" s="375" t="str">
        <x:f>IFERROR(IF(K22="","",K22/1000),"")</x:f>
      </x:c>
      <x:c r="M22" s="368" t="str"/>
    </x:row>
    <x:row r="23" ht="23" customHeight="1">
      <x:c r="A23" s="358" t="n">
        <x:v>6</x:v>
      </x:c>
      <x:c r="B23" s="368" t="str"/>
      <x:c r="C23" s="368" t="str"/>
      <x:c r="D23" s="368" t="str"/>
      <x:c r="E23" s="369" t="str"/>
      <x:c r="F23" s="368" t="str"/>
      <x:c r="G23" s="370" t="str"/>
      <x:c r="H23" s="373" t="str">
        <x:f>IFERROR(IF(OR(E23="",G23=""),"",E23*G23),"")</x:f>
      </x:c>
      <x:c r="I23" s="368" t="str"/>
      <x:c r="J23" s="371" t="str"/>
      <x:c r="K23" s="375" t="str">
        <x:f>IFERROR(IF(OR(E23="",J23=""),"",E23*J23),"")</x:f>
      </x:c>
      <x:c r="L23" s="375" t="str">
        <x:f>IFERROR(IF(K23="","",K23/1000),"")</x:f>
      </x:c>
      <x:c r="M23" s="368" t="str"/>
    </x:row>
    <x:row r="24" ht="23" customHeight="1">
      <x:c r="A24" s="358" t="n">
        <x:v>7</x:v>
      </x:c>
      <x:c r="B24" s="368" t="str"/>
      <x:c r="C24" s="368" t="str"/>
      <x:c r="D24" s="368" t="str"/>
      <x:c r="E24" s="369" t="str"/>
      <x:c r="F24" s="368" t="str"/>
      <x:c r="G24" s="370" t="str"/>
      <x:c r="H24" s="373" t="str">
        <x:f>IFERROR(IF(OR(E24="",G24=""),"",E24*G24),"")</x:f>
      </x:c>
      <x:c r="I24" s="368" t="str"/>
      <x:c r="J24" s="371" t="str"/>
      <x:c r="K24" s="375" t="str">
        <x:f>IFERROR(IF(OR(E24="",J24=""),"",E24*J24),"")</x:f>
      </x:c>
      <x:c r="L24" s="375" t="str">
        <x:f>IFERROR(IF(K24="","",K24/1000),"")</x:f>
      </x:c>
      <x:c r="M24" s="368" t="str"/>
    </x:row>
    <x:row r="25" ht="23" customHeight="1">
      <x:c r="A25" s="358" t="n">
        <x:v>8</x:v>
      </x:c>
      <x:c r="B25" s="368" t="str"/>
      <x:c r="C25" s="368" t="str"/>
      <x:c r="D25" s="368" t="str"/>
      <x:c r="E25" s="369" t="str"/>
      <x:c r="F25" s="368" t="str"/>
      <x:c r="G25" s="370" t="str"/>
      <x:c r="H25" s="373" t="str">
        <x:f>IFERROR(IF(OR(E25="",G25=""),"",E25*G25),"")</x:f>
      </x:c>
      <x:c r="I25" s="368" t="str"/>
      <x:c r="J25" s="371" t="str"/>
      <x:c r="K25" s="375" t="str">
        <x:f>IFERROR(IF(OR(E25="",J25=""),"",E25*J25),"")</x:f>
      </x:c>
      <x:c r="L25" s="375" t="str">
        <x:f>IFERROR(IF(K25="","",K25/1000),"")</x:f>
      </x:c>
      <x:c r="M25" s="368" t="str"/>
    </x:row>
    <x:row r="26" ht="23" customHeight="1">
      <x:c r="A26" s="358" t="n">
        <x:v>9</x:v>
      </x:c>
      <x:c r="B26" s="368" t="str"/>
      <x:c r="C26" s="368" t="str"/>
      <x:c r="D26" s="368" t="str"/>
      <x:c r="E26" s="369" t="str"/>
      <x:c r="F26" s="368" t="str"/>
      <x:c r="G26" s="370" t="str"/>
      <x:c r="H26" s="373" t="str">
        <x:f>IFERROR(IF(OR(E26="",G26=""),"",E26*G26),"")</x:f>
      </x:c>
      <x:c r="I26" s="368" t="str"/>
      <x:c r="J26" s="371" t="str"/>
      <x:c r="K26" s="375" t="str">
        <x:f>IFERROR(IF(OR(E26="",J26=""),"",E26*J26),"")</x:f>
      </x:c>
      <x:c r="L26" s="375" t="str">
        <x:f>IFERROR(IF(K26="","",K26/1000),"")</x:f>
      </x:c>
      <x:c r="M26" s="368" t="str"/>
    </x:row>
    <x:row r="27" ht="23" customHeight="1">
      <x:c r="A27" s="358" t="n">
        <x:v>10</x:v>
      </x:c>
      <x:c r="B27" s="368" t="str"/>
      <x:c r="C27" s="368" t="str"/>
      <x:c r="D27" s="368" t="str"/>
      <x:c r="E27" s="369" t="str"/>
      <x:c r="F27" s="368" t="str"/>
      <x:c r="G27" s="370" t="str"/>
      <x:c r="H27" s="373" t="str">
        <x:f>IFERROR(IF(OR(E27="",G27=""),"",E27*G27),"")</x:f>
      </x:c>
      <x:c r="I27" s="368" t="str"/>
      <x:c r="J27" s="371" t="str"/>
      <x:c r="K27" s="375" t="str">
        <x:f>IFERROR(IF(OR(E27="",J27=""),"",E27*J27),"")</x:f>
      </x:c>
      <x:c r="L27" s="375" t="str">
        <x:f>IFERROR(IF(K27="","",K27/1000),"")</x:f>
      </x:c>
      <x:c r="M27" s="368" t="str"/>
    </x:row>
    <x:row r="28" ht="23" customHeight="1">
      <x:c r="A28" s="358" t="n">
        <x:v>11</x:v>
      </x:c>
      <x:c r="B28" s="368" t="str"/>
      <x:c r="C28" s="368" t="str"/>
      <x:c r="D28" s="368" t="str"/>
      <x:c r="E28" s="369" t="str"/>
      <x:c r="F28" s="368" t="str"/>
      <x:c r="G28" s="370" t="str"/>
      <x:c r="H28" s="373" t="str">
        <x:f>IFERROR(IF(OR(E28="",G28=""),"",E28*G28),"")</x:f>
      </x:c>
      <x:c r="I28" s="368" t="str"/>
      <x:c r="J28" s="371" t="str"/>
      <x:c r="K28" s="375" t="str">
        <x:f>IFERROR(IF(OR(E28="",J28=""),"",E28*J28),"")</x:f>
      </x:c>
      <x:c r="L28" s="375" t="str">
        <x:f>IFERROR(IF(K28="","",K28/1000),"")</x:f>
      </x:c>
      <x:c r="M28" s="368" t="str"/>
    </x:row>
    <x:row r="29" ht="23" customHeight="1">
      <x:c r="A29" s="358" t="n">
        <x:v>12</x:v>
      </x:c>
      <x:c r="B29" s="368" t="str"/>
      <x:c r="C29" s="368" t="str"/>
      <x:c r="D29" s="368" t="str"/>
      <x:c r="E29" s="369" t="str"/>
      <x:c r="F29" s="368" t="str"/>
      <x:c r="G29" s="370" t="str"/>
      <x:c r="H29" s="373" t="str">
        <x:f>IFERROR(IF(OR(E29="",G29=""),"",E29*G29),"")</x:f>
      </x:c>
      <x:c r="I29" s="368" t="str"/>
      <x:c r="J29" s="371" t="str"/>
      <x:c r="K29" s="375" t="str">
        <x:f>IFERROR(IF(OR(E29="",J29=""),"",E29*J29),"")</x:f>
      </x:c>
      <x:c r="L29" s="375" t="str">
        <x:f>IFERROR(IF(K29="","",K29/1000),"")</x:f>
      </x:c>
      <x:c r="M29" s="368" t="str"/>
    </x:row>
    <x:row r="30" ht="23" customHeight="1">
      <x:c r="A30" s="358" t="n">
        <x:v>13</x:v>
      </x:c>
      <x:c r="B30" s="368" t="str"/>
      <x:c r="C30" s="368" t="str"/>
      <x:c r="D30" s="368" t="str"/>
      <x:c r="E30" s="369" t="str"/>
      <x:c r="F30" s="368" t="str"/>
      <x:c r="G30" s="370" t="str"/>
      <x:c r="H30" s="373" t="str">
        <x:f>IFERROR(IF(OR(E30="",G30=""),"",E30*G30),"")</x:f>
      </x:c>
      <x:c r="I30" s="368" t="str"/>
      <x:c r="J30" s="371" t="str"/>
      <x:c r="K30" s="375" t="str">
        <x:f>IFERROR(IF(OR(E30="",J30=""),"",E30*J30),"")</x:f>
      </x:c>
      <x:c r="L30" s="375" t="str">
        <x:f>IFERROR(IF(K30="","",K30/1000),"")</x:f>
      </x:c>
      <x:c r="M30" s="368" t="str"/>
    </x:row>
    <x:row r="31" ht="23" customHeight="1">
      <x:c r="A31" s="358" t="n">
        <x:v>14</x:v>
      </x:c>
      <x:c r="B31" s="368" t="str"/>
      <x:c r="C31" s="368" t="str"/>
      <x:c r="D31" s="368" t="str"/>
      <x:c r="E31" s="369" t="str"/>
      <x:c r="F31" s="368" t="str"/>
      <x:c r="G31" s="370" t="str"/>
      <x:c r="H31" s="373" t="str">
        <x:f>IFERROR(IF(OR(E31="",G31=""),"",E31*G31),"")</x:f>
      </x:c>
      <x:c r="I31" s="368" t="str"/>
      <x:c r="J31" s="371" t="str"/>
      <x:c r="K31" s="375" t="str">
        <x:f>IFERROR(IF(OR(E31="",J31=""),"",E31*J31),"")</x:f>
      </x:c>
      <x:c r="L31" s="375" t="str">
        <x:f>IFERROR(IF(K31="","",K31/1000),"")</x:f>
      </x:c>
      <x:c r="M31" s="368" t="str"/>
    </x:row>
    <x:row r="32" ht="23" customHeight="1">
      <x:c r="A32" s="358" t="n">
        <x:v>15</x:v>
      </x:c>
      <x:c r="B32" s="368" t="str"/>
      <x:c r="C32" s="368" t="str"/>
      <x:c r="D32" s="368" t="str"/>
      <x:c r="E32" s="369" t="str"/>
      <x:c r="F32" s="368" t="str"/>
      <x:c r="G32" s="370" t="str"/>
      <x:c r="H32" s="373" t="str">
        <x:f>IFERROR(IF(OR(E32="",G32=""),"",E32*G32),"")</x:f>
      </x:c>
      <x:c r="I32" s="368" t="str"/>
      <x:c r="J32" s="371" t="str"/>
      <x:c r="K32" s="375" t="str">
        <x:f>IFERROR(IF(OR(E32="",J32=""),"",E32*J32),"")</x:f>
      </x:c>
      <x:c r="L32" s="375" t="str">
        <x:f>IFERROR(IF(K32="","",K32/1000),"")</x:f>
      </x:c>
      <x:c r="M32" s="368" t="str"/>
    </x:row>
    <x:row r="33" ht="23" customHeight="1">
      <x:c r="A33" s="358" t="n">
        <x:v>16</x:v>
      </x:c>
      <x:c r="B33" s="368" t="str"/>
      <x:c r="C33" s="368" t="str"/>
      <x:c r="D33" s="368" t="str"/>
      <x:c r="E33" s="369" t="str"/>
      <x:c r="F33" s="368" t="str"/>
      <x:c r="G33" s="370" t="str"/>
      <x:c r="H33" s="373" t="str">
        <x:f>IFERROR(IF(OR(E33="",G33=""),"",E33*G33),"")</x:f>
      </x:c>
      <x:c r="I33" s="368" t="str"/>
      <x:c r="J33" s="371" t="str"/>
      <x:c r="K33" s="375" t="str">
        <x:f>IFERROR(IF(OR(E33="",J33=""),"",E33*J33),"")</x:f>
      </x:c>
      <x:c r="L33" s="375" t="str">
        <x:f>IFERROR(IF(K33="","",K33/1000),"")</x:f>
      </x:c>
      <x:c r="M33" s="368" t="str"/>
    </x:row>
    <x:row r="34" ht="23" customHeight="1">
      <x:c r="A34" s="358" t="n">
        <x:v>17</x:v>
      </x:c>
      <x:c r="B34" s="368" t="str"/>
      <x:c r="C34" s="368" t="str"/>
      <x:c r="D34" s="368" t="str"/>
      <x:c r="E34" s="369" t="str"/>
      <x:c r="F34" s="368" t="str"/>
      <x:c r="G34" s="370" t="str"/>
      <x:c r="H34" s="373" t="str">
        <x:f>IFERROR(IF(OR(E34="",G34=""),"",E34*G34),"")</x:f>
      </x:c>
      <x:c r="I34" s="368" t="str"/>
      <x:c r="J34" s="371" t="str"/>
      <x:c r="K34" s="375" t="str">
        <x:f>IFERROR(IF(OR(E34="",J34=""),"",E34*J34),"")</x:f>
      </x:c>
      <x:c r="L34" s="375" t="str">
        <x:f>IFERROR(IF(K34="","",K34/1000),"")</x:f>
      </x:c>
      <x:c r="M34" s="368" t="str"/>
    </x:row>
    <x:row r="35" ht="23" customHeight="1">
      <x:c r="A35" s="358" t="n">
        <x:v>18</x:v>
      </x:c>
      <x:c r="B35" s="368" t="str"/>
      <x:c r="C35" s="368" t="str"/>
      <x:c r="D35" s="368" t="str"/>
      <x:c r="E35" s="369" t="str"/>
      <x:c r="F35" s="368" t="str"/>
      <x:c r="G35" s="370" t="str"/>
      <x:c r="H35" s="373" t="str">
        <x:f>IFERROR(IF(OR(E35="",G35=""),"",E35*G35),"")</x:f>
      </x:c>
      <x:c r="I35" s="368" t="str"/>
      <x:c r="J35" s="371" t="str"/>
      <x:c r="K35" s="375" t="str">
        <x:f>IFERROR(IF(OR(E35="",J35=""),"",E35*J35),"")</x:f>
      </x:c>
      <x:c r="L35" s="375" t="str">
        <x:f>IFERROR(IF(K35="","",K35/1000),"")</x:f>
      </x:c>
      <x:c r="M35" s="368" t="str"/>
    </x:row>
    <x:row r="36" ht="23" customHeight="1">
      <x:c r="A36" s="358" t="n">
        <x:v>19</x:v>
      </x:c>
      <x:c r="B36" s="368" t="str"/>
      <x:c r="C36" s="368" t="str"/>
      <x:c r="D36" s="368" t="str"/>
      <x:c r="E36" s="369" t="str"/>
      <x:c r="F36" s="368" t="str"/>
      <x:c r="G36" s="370" t="str"/>
      <x:c r="H36" s="373" t="str">
        <x:f>IFERROR(IF(OR(E36="",G36=""),"",E36*G36),"")</x:f>
      </x:c>
      <x:c r="I36" s="368" t="str"/>
      <x:c r="J36" s="371" t="str"/>
      <x:c r="K36" s="375" t="str">
        <x:f>IFERROR(IF(OR(E36="",J36=""),"",E36*J36),"")</x:f>
      </x:c>
      <x:c r="L36" s="375" t="str">
        <x:f>IFERROR(IF(K36="","",K36/1000),"")</x:f>
      </x:c>
      <x:c r="M36" s="368" t="str"/>
    </x:row>
    <x:row r="37" ht="23" customHeight="1">
      <x:c r="A37" s="358" t="n">
        <x:v>20</x:v>
      </x:c>
      <x:c r="B37" s="368" t="str"/>
      <x:c r="C37" s="368" t="str"/>
      <x:c r="D37" s="368" t="str"/>
      <x:c r="E37" s="369" t="str"/>
      <x:c r="F37" s="368" t="str"/>
      <x:c r="G37" s="370" t="str"/>
      <x:c r="H37" s="373" t="str">
        <x:f>IFERROR(IF(OR(E37="",G37=""),"",E37*G37),"")</x:f>
      </x:c>
      <x:c r="I37" s="368" t="str"/>
      <x:c r="J37" s="371" t="str"/>
      <x:c r="K37" s="375" t="str">
        <x:f>IFERROR(IF(OR(E37="",J37=""),"",E37*J37),"")</x:f>
      </x:c>
      <x:c r="L37" s="375" t="str">
        <x:f>IFERROR(IF(K37="","",K37/1000),"")</x:f>
      </x:c>
      <x:c r="M37" s="368" t="str"/>
    </x:row>
    <x:row r="38" ht="26" customHeight="1">
      <x:c r="A38" s="380" t="str"/>
      <x:c r="B38" s="380" t="str"/>
      <x:c r="C38" s="380" t="str">
        <x:v>TOTAL</x:v>
      </x:c>
      <x:c r="D38" s="380" t="str"/>
      <x:c r="E38" s="381" t="n">
        <x:f>IFERROR(SUM(E18:E37),0)</x:f>
        <x:v>1200</x:v>
      </x:c>
      <x:c r="F38" s="380" t="str"/>
      <x:c r="G38" s="382" t="str"/>
      <x:c r="H38" s="382" t="n">
        <x:f>IFERROR(SUM(H18:H37),0)</x:f>
        <x:v>5400</x:v>
      </x:c>
      <x:c r="I38" s="380" t="str"/>
      <x:c r="J38" s="383" t="str"/>
      <x:c r="K38" s="383" t="n">
        <x:f>IFERROR(SUM(K18:K37),0)</x:f>
        <x:v>2820</x:v>
      </x:c>
      <x:c r="L38" s="383" t="n">
        <x:f>IFERROR(SUM(L18:L37),0)</x:f>
        <x:v>2.82</x:v>
      </x:c>
      <x:c r="M38" s="380" t="str"/>
    </x:row>
    <x:row r="39">
      <x:c r="A39" s="266"/>
      <x:c r="B39" s="266"/>
      <x:c r="C39" s="266"/>
      <x:c r="D39" s="266"/>
      <x:c r="E39" s="266"/>
      <x:c r="F39" s="266"/>
      <x:c r="G39" s="266"/>
      <x:c r="H39" s="266"/>
      <x:c r="I39" s="266"/>
      <x:c r="J39" s="266"/>
      <x:c r="K39" s="266"/>
      <x:c r="L39" s="266"/>
      <x:c r="M39" s="266"/>
    </x:row>
    <x:row r="40" ht="22" customHeight="1">
      <x:c r="A40" s="265" t="str">
        <x:v>CARBON &amp; COMMERCIAL SUMMARY</x:v>
      </x:c>
      <x:c r="B40" s="265"/>
      <x:c r="C40" s="265"/>
      <x:c r="D40" s="265"/>
      <x:c r="E40" s="265"/>
      <x:c r="F40" s="265"/>
      <x:c r="G40" s="265"/>
      <x:c r="H40" s="265"/>
      <x:c r="I40" s="265"/>
      <x:c r="J40" s="265"/>
      <x:c r="K40" s="265"/>
      <x:c r="L40" s="265"/>
      <x:c r="M40" s="265"/>
    </x:row>
    <x:row r="41">
      <x:c r="A41" s="267" t="str">
        <x:v>Total Quantity</x:v>
      </x:c>
      <x:c r="B41" s="375" t="n">
        <x:f>IFERROR(E38,0)</x:f>
        <x:v>1200</x:v>
      </x:c>
      <x:c r="C41" s="282" t="str">
        <x:v>Total Invoice Amount</x:v>
      </x:c>
      <x:c r="D41" s="375" t="n">
        <x:f>IFERROR(H38,0)</x:f>
        <x:v>5400</x:v>
      </x:c>
      <x:c r="E41" s="388" t="str"/>
      <x:c r="F41" s="282" t="str">
        <x:v>Total Embedded Carbon kgCO2e</x:v>
      </x:c>
      <x:c r="G41" s="375" t="n">
        <x:f>IFERROR(K38,0)</x:f>
        <x:v>2820</x:v>
      </x:c>
      <x:c r="H41" s="282" t="str">
        <x:v>Total Embedded Carbon tCO2e</x:v>
      </x:c>
      <x:c r="I41" s="375" t="n">
        <x:f>IFERROR(L38,0)</x:f>
        <x:v>2.82</x:v>
      </x:c>
      <x:c r="J41" s="282" t="str">
        <x:v>Average kgCO2e/unit</x:v>
      </x:c>
      <x:c r="K41" s="375" t="n">
        <x:f>IFERROR(IF(E38=0,"",K38/E38),"")</x:f>
        <x:v>2.35</x:v>
      </x:c>
      <x:c r="L41" s="267" t="str">
        <x:v>Validation Status</x:v>
      </x:c>
      <x:c r="M41" s="268" t="str">
        <x:v>READY FOR DATA FILL</x:v>
      </x:c>
    </x:row>
    <x:row r="42">
      <x:c r="A42" s="266" t="str"/>
      <x:c r="B42" s="266" t="str"/>
      <x:c r="C42" s="266" t="str"/>
      <x:c r="D42" s="266" t="str"/>
      <x:c r="E42" s="266" t="str"/>
      <x:c r="F42" s="266" t="str"/>
      <x:c r="G42" s="266" t="str"/>
      <x:c r="H42" s="266" t="str"/>
      <x:c r="I42" s="266" t="str"/>
      <x:c r="J42" s="266" t="str"/>
      <x:c r="K42" s="266" t="str"/>
      <x:c r="L42" s="266" t="str"/>
      <x:c r="M42" s="266" t="str"/>
    </x:row>
    <x:row r="43" ht="22" customHeight="1">
      <x:c r="A43" s="283" t="str">
        <x:v>Declaration: The commercial and embedded carbon data in this invoice template is prepared for Weave Carbon export documentation workflows. Carbon values are calculated from mapped SKU intensity and declared shipment quantities; methodology metadata should be populated from verified datasets before final issuance.</x:v>
      </x:c>
      <x:c r="B43" s="283"/>
      <x:c r="C43" s="283"/>
      <x:c r="D43" s="283"/>
      <x:c r="E43" s="283"/>
      <x:c r="F43" s="283"/>
      <x:c r="G43" s="283"/>
      <x:c r="H43" s="283"/>
      <x:c r="I43" s="283"/>
      <x:c r="J43" s="283"/>
      <x:c r="K43" s="283"/>
      <x:c r="L43" s="283"/>
      <x:c r="M43" s="283"/>
    </x:row>
    <x:row r="44" ht="22" customHeight="1">
      <x:c r="A44" s="283"/>
      <x:c r="B44" s="283"/>
      <x:c r="C44" s="283"/>
      <x:c r="D44" s="283"/>
      <x:c r="E44" s="283"/>
      <x:c r="F44" s="283"/>
      <x:c r="G44" s="283"/>
      <x:c r="H44" s="283"/>
      <x:c r="I44" s="283"/>
      <x:c r="J44" s="283"/>
      <x:c r="K44" s="283"/>
      <x:c r="L44" s="283"/>
      <x:c r="M44" s="283"/>
    </x:row>
    <x:row r="45" ht="22" customHeight="1">
      <x:c r="A45" s="283"/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</x:row>
    <x:row r="46">
      <x:c r="A46" s="266"/>
      <x:c r="B46" s="266"/>
      <x:c r="C46" s="266"/>
      <x:c r="D46" s="266"/>
      <x:c r="E46" s="266"/>
      <x:c r="F46" s="266"/>
      <x:c r="G46" s="266"/>
      <x:c r="H46" s="266"/>
      <x:c r="I46" s="266"/>
      <x:c r="J46" s="266"/>
      <x:c r="K46" s="266"/>
      <x:c r="L46" s="266"/>
      <x:c r="M46" s="266"/>
    </x:row>
    <x:row r="47" ht="22" customHeight="1">
      <x:c r="A47" s="284" t="str">
        <x:v>Prepared by</x:v>
      </x:c>
      <x:c r="B47" s="284"/>
      <x:c r="C47" s="284"/>
      <x:c r="D47" s="284"/>
      <x:c r="E47" s="284" t="str">
        <x:v>Checked by</x:v>
      </x:c>
      <x:c r="F47" s="284"/>
      <x:c r="G47" s="284"/>
      <x:c r="H47" s="284"/>
      <x:c r="I47" s="266"/>
      <x:c r="J47" s="284" t="str">
        <x:v>Authorized Signatory</x:v>
      </x:c>
      <x:c r="K47" s="284"/>
      <x:c r="L47" s="284"/>
      <x:c r="M47" s="284"/>
    </x:row>
    <x:row r="48" ht="22" customHeight="1">
      <x:c r="A48" s="285" t="str"/>
      <x:c r="B48" s="285"/>
      <x:c r="C48" s="285"/>
      <x:c r="D48" s="285"/>
      <x:c r="E48" s="285" t="str"/>
      <x:c r="F48" s="285"/>
      <x:c r="G48" s="285"/>
      <x:c r="H48" s="285"/>
      <x:c r="I48" s="266"/>
      <x:c r="J48" s="285" t="str"/>
      <x:c r="K48" s="285"/>
      <x:c r="L48" s="285"/>
      <x:c r="M48" s="285"/>
    </x:row>
    <x:row r="49" ht="22" customHeight="1">
      <x:c r="A49" s="285"/>
      <x:c r="B49" s="285"/>
      <x:c r="C49" s="285"/>
      <x:c r="D49" s="285"/>
      <x:c r="E49" s="285"/>
      <x:c r="F49" s="285"/>
      <x:c r="G49" s="285"/>
      <x:c r="H49" s="285"/>
      <x:c r="I49" s="266"/>
      <x:c r="J49" s="285"/>
      <x:c r="K49" s="285"/>
      <x:c r="L49" s="285"/>
      <x:c r="M49" s="285"/>
    </x:row>
    <x:row r="50" ht="22" customHeight="1">
      <x:c r="A50" s="285"/>
      <x:c r="B50" s="285"/>
      <x:c r="C50" s="285"/>
      <x:c r="D50" s="285"/>
      <x:c r="E50" s="285"/>
      <x:c r="F50" s="285"/>
      <x:c r="G50" s="285"/>
      <x:c r="H50" s="285"/>
      <x:c r="I50" s="266"/>
      <x:c r="J50" s="285"/>
      <x:c r="K50" s="285"/>
      <x:c r="L50" s="285"/>
      <x:c r="M50" s="285"/>
    </x:row>
    <x:row r="51" ht="22" customHeight="1">
      <x:c r="A51" s="285"/>
      <x:c r="B51" s="285"/>
      <x:c r="C51" s="285"/>
      <x:c r="D51" s="285"/>
      <x:c r="E51" s="285"/>
      <x:c r="F51" s="285"/>
      <x:c r="G51" s="285"/>
      <x:c r="H51" s="285"/>
      <x:c r="I51" s="266"/>
      <x:c r="J51" s="285"/>
      <x:c r="K51" s="285"/>
      <x:c r="L51" s="285"/>
      <x:c r="M51" s="285"/>
    </x:row>
    <x:row r="52" ht="18" customHeight="1">
      <x:c r="A52" s="286" t="str">
        <x:v>Name / Date / Signature</x:v>
      </x:c>
      <x:c r="B52" s="286"/>
      <x:c r="C52" s="286"/>
      <x:c r="D52" s="286"/>
      <x:c r="E52" s="286" t="str">
        <x:v>Name / Date / Signature</x:v>
      </x:c>
      <x:c r="F52" s="286"/>
      <x:c r="G52" s="286"/>
      <x:c r="H52" s="286"/>
      <x:c r="I52" s="266"/>
      <x:c r="J52" s="286" t="str">
        <x:v>Name / Date / Signature</x:v>
      </x:c>
      <x:c r="K52" s="286"/>
      <x:c r="L52" s="286"/>
      <x:c r="M52" s="286"/>
    </x:row>
    <x:row r="53">
      <x:c r="A53" s="266"/>
      <x:c r="B53" s="266"/>
      <x:c r="C53" s="266"/>
      <x:c r="D53" s="266"/>
      <x:c r="E53" s="266"/>
      <x:c r="F53" s="266"/>
      <x:c r="G53" s="266"/>
      <x:c r="H53" s="266"/>
      <x:c r="I53" s="266"/>
      <x:c r="J53" s="266"/>
      <x:c r="K53" s="266"/>
      <x:c r="L53" s="266"/>
      <x:c r="M53" s="266"/>
    </x:row>
    <x:row r="54">
      <x:c r="A54" s="266"/>
      <x:c r="B54" s="266"/>
      <x:c r="C54" s="266"/>
      <x:c r="D54" s="266"/>
      <x:c r="E54" s="266"/>
      <x:c r="F54" s="266"/>
      <x:c r="G54" s="266"/>
      <x:c r="H54" s="266"/>
      <x:c r="I54" s="266"/>
      <x:c r="J54" s="266"/>
      <x:c r="K54" s="266"/>
      <x:c r="L54" s="266"/>
      <x:c r="M54" s="266"/>
    </x:row>
    <x:row r="55">
      <x:c r="A55" s="266"/>
      <x:c r="B55" s="266"/>
      <x:c r="C55" s="266"/>
      <x:c r="D55" s="266"/>
      <x:c r="E55" s="266"/>
      <x:c r="F55" s="266"/>
      <x:c r="G55" s="266"/>
      <x:c r="H55" s="266"/>
      <x:c r="I55" s="266"/>
      <x:c r="J55" s="266"/>
      <x:c r="K55" s="266"/>
      <x:c r="L55" s="266"/>
      <x:c r="M55" s="266"/>
    </x:row>
    <x:row r="56" ht="18" customHeight="1">
      <x:c r="A56" s="287" t="str">
        <x:v>Weave Carbon Template Engine | Commercial Invoice | Fixed mapping: header A5:M14, table CI_LineItems A17:M37, totals row 38 | Do not overwrite formula cells</x:v>
      </x:c>
      <x:c r="B56" s="288"/>
      <x:c r="C56" s="288"/>
      <x:c r="D56" s="288"/>
      <x:c r="E56" s="288"/>
      <x:c r="F56" s="288"/>
      <x:c r="G56" s="288"/>
      <x:c r="H56" s="288"/>
      <x:c r="I56" s="288"/>
      <x:c r="J56" s="288"/>
      <x:c r="K56" s="288"/>
      <x:c r="L56" s="288"/>
      <x:c r="M56" s="289"/>
    </x:row>
  </x:sheetData>
  <x:mergeCells>
    <x:mergeCell ref="A1:M1"/>
    <x:mergeCell ref="A3:M3"/>
    <x:mergeCell ref="A4:F4"/>
    <x:mergeCell ref="H4:M4"/>
    <x:mergeCell ref="B5:C5"/>
    <x:mergeCell ref="E5:F5"/>
    <x:mergeCell ref="B6:F6"/>
    <x:mergeCell ref="B7:C7"/>
    <x:mergeCell ref="E7:F7"/>
    <x:mergeCell ref="B8:C8"/>
    <x:mergeCell ref="E8:F8"/>
    <x:mergeCell ref="I5:M5"/>
    <x:mergeCell ref="I6:M6"/>
    <x:mergeCell ref="I7:M7"/>
    <x:mergeCell ref="A10:M10"/>
    <x:mergeCell ref="B11:C11"/>
    <x:mergeCell ref="E11:G11"/>
    <x:mergeCell ref="I11:J11"/>
    <x:mergeCell ref="L11:M11"/>
    <x:mergeCell ref="B12:C12"/>
    <x:mergeCell ref="E12:G12"/>
    <x:mergeCell ref="I12:J12"/>
    <x:mergeCell ref="L12:M12"/>
    <x:mergeCell ref="B13:C13"/>
    <x:mergeCell ref="E13:G13"/>
    <x:mergeCell ref="I13:J13"/>
    <x:mergeCell ref="L13:M13"/>
    <x:mergeCell ref="B14:G14"/>
    <x:mergeCell ref="I14:M14"/>
    <x:mergeCell ref="A16:M16"/>
    <x:mergeCell ref="A40:M40"/>
    <x:mergeCell ref="A43:M45"/>
    <x:mergeCell ref="A47:D47"/>
    <x:mergeCell ref="A48:D51"/>
    <x:mergeCell ref="A52:D52"/>
    <x:mergeCell ref="E47:H47"/>
    <x:mergeCell ref="E48:H51"/>
    <x:mergeCell ref="E52:H52"/>
    <x:mergeCell ref="J47:M47"/>
    <x:mergeCell ref="J48:M51"/>
    <x:mergeCell ref="J52:M52"/>
    <x:mergeCell ref="A56:M56"/>
  </x:mergeCells>
  <x:pageMargins left="0.7" right="0.7" top="0.75" bottom="0.75" header="0.3" footer="0.3"/>
  <x:tableParts count="2">
    <x:tablePart xmlns:r="http://schemas.openxmlformats.org/officeDocument/2006/relationships" r:id="Raf7f7336c062489f"/>
    <x:tablePart xmlns:r="http://schemas.openxmlformats.org/officeDocument/2006/relationships" r:id="Rb088cbef8f244e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</x:cols>
  <x:sheetData>
    <x:row r="1" ht="30" customHeight="1">
      <x:c r="A1" s="333" t="str">
        <x:v>WEAVE CARBON | PACKING LIST</x:v>
      </x:c>
      <x:c r="B1" s="334"/>
      <x:c r="C1" s="334"/>
      <x:c r="D1" s="334"/>
      <x:c r="E1" s="334"/>
      <x:c r="F1" s="334"/>
      <x:c r="G1" s="334"/>
      <x:c r="H1" s="334"/>
      <x:c r="I1" s="334"/>
      <x:c r="J1" s="334"/>
      <x:c r="K1" s="334"/>
      <x:c r="L1" s="334"/>
      <x:c r="M1" s="334"/>
      <x:c r="N1" s="335"/>
    </x:row>
    <x:row r="2" ht="21" customHeight="1">
      <x:c r="A2" s="261" t="str">
        <x:v>Template ID</x:v>
      </x:c>
      <x:c r="B2" s="261" t="str">
        <x:v>WC-EXP-PL-001</x:v>
      </x:c>
      <x:c r="C2" s="261" t="str">
        <x:v>Version</x:v>
      </x:c>
      <x:c r="D2" s="261" t="str">
        <x:v>v1.0</x:v>
      </x:c>
      <x:c r="E2" s="261" t="str">
        <x:v>Data Start Row</x:v>
      </x:c>
      <x:c r="F2" s="261" t="n">
        <x:v>18</x:v>
      </x:c>
      <x:c r="G2" s="261" t="str">
        <x:v>Primary Table</x:v>
      </x:c>
      <x:c r="H2" s="261" t="str">
        <x:v>PL_CartonLines</x:v>
      </x:c>
      <x:c r="I2" s="261" t="str"/>
      <x:c r="J2" s="261" t="str"/>
      <x:c r="K2" s="261" t="str"/>
      <x:c r="L2" s="261" t="str"/>
      <x:c r="M2" s="261" t="str"/>
      <x:c r="N2" s="261" t="str"/>
    </x:row>
    <x:row r="3" ht="20" customHeight="1">
      <x:c r="A3" s="488" t="str">
        <x:v>Developer note: fill only white / pale green input cells and table columns; keep formula cells, totals, layout, header/footer, and table names unchanged.</x:v>
      </x:c>
      <x:c r="B3" s="489"/>
      <x:c r="C3" s="489"/>
      <x:c r="D3" s="489"/>
      <x:c r="E3" s="489"/>
      <x:c r="F3" s="489"/>
      <x:c r="G3" s="489"/>
      <x:c r="H3" s="489"/>
      <x:c r="I3" s="489"/>
      <x:c r="J3" s="489"/>
      <x:c r="K3" s="489"/>
      <x:c r="L3" s="489"/>
      <x:c r="M3" s="489"/>
      <x:c r="N3" s="490"/>
    </x:row>
    <x:row r="4" ht="22" customHeight="1">
      <x:c r="A4" s="399" t="str">
        <x:v>EXPORTER / SHIPMENT</x:v>
      </x:c>
      <x:c r="B4" s="400"/>
      <x:c r="C4" s="400"/>
      <x:c r="D4" s="400"/>
      <x:c r="E4" s="400"/>
      <x:c r="F4" s="400"/>
      <x:c r="G4" s="400"/>
      <x:c r="H4" s="401"/>
      <x:c r="I4" s="399" t="str">
        <x:v>BUYER / BRAND / LOGISTICS</x:v>
      </x:c>
      <x:c r="J4" s="400"/>
      <x:c r="K4" s="400"/>
      <x:c r="L4" s="400"/>
      <x:c r="M4" s="400"/>
      <x:c r="N4" s="451"/>
    </x:row>
    <x:row r="5">
      <x:c r="A5" s="267" t="str">
        <x:v>Exporter Legal Name</x:v>
      </x:c>
      <x:c r="B5" s="446" t="str">
        <x:v>[EXPORTER_NAME]</x:v>
      </x:c>
      <x:c r="C5" s="268" t="str"/>
      <x:c r="D5" s="267" t="str">
        <x:v>PO / Contract ID</x:v>
      </x:c>
      <x:c r="E5" s="446" t="str">
        <x:v>[PO_CONTRACT_ID]</x:v>
      </x:c>
      <x:c r="F5" s="268" t="str"/>
      <x:c r="G5" s="268" t="str"/>
      <x:c r="H5" s="266"/>
      <x:c r="I5" s="267" t="str">
        <x:v>Buyer / Brand Name</x:v>
      </x:c>
      <x:c r="J5" s="446" t="str">
        <x:v>[BUYER_BRAND_NAME]</x:v>
      </x:c>
      <x:c r="K5" s="268" t="str"/>
      <x:c r="L5" s="268" t="str"/>
      <x:c r="M5" s="446" t="str"/>
      <x:c r="N5" s="268" t="str"/>
    </x:row>
    <x:row r="6">
      <x:c r="A6" s="267" t="str">
        <x:v>Exporter Address</x:v>
      </x:c>
      <x:c r="B6" s="446" t="str">
        <x:v>[EXPORTER_ADDRESS]</x:v>
      </x:c>
      <x:c r="C6" s="268" t="str"/>
      <x:c r="D6" s="269" t="str"/>
      <x:c r="E6" s="446" t="str"/>
      <x:c r="F6" s="268" t="str"/>
      <x:c r="G6" s="268" t="str"/>
      <x:c r="H6" s="266"/>
      <x:c r="I6" s="267" t="str">
        <x:v>B/L No</x:v>
      </x:c>
      <x:c r="J6" s="446" t="str">
        <x:v>[BL_NO]</x:v>
      </x:c>
      <x:c r="K6" s="268" t="str"/>
      <x:c r="L6" s="267" t="str">
        <x:v>Container No</x:v>
      </x:c>
      <x:c r="M6" s="446" t="str">
        <x:v>[CONTAINER_NO]</x:v>
      </x:c>
      <x:c r="N6" s="268" t="str"/>
    </x:row>
    <x:row r="7">
      <x:c r="A7" s="267" t="str">
        <x:v>Invoice No</x:v>
      </x:c>
      <x:c r="B7" s="446" t="str">
        <x:v>[INVOICE_NO]</x:v>
      </x:c>
      <x:c r="C7" s="268" t="str"/>
      <x:c r="D7" s="267" t="str">
        <x:v>Customs Declaration No</x:v>
      </x:c>
      <x:c r="E7" s="446" t="str">
        <x:v>[CUSTOMS_DECL_NO]</x:v>
      </x:c>
      <x:c r="F7" s="268" t="str"/>
      <x:c r="G7" s="268" t="str"/>
      <x:c r="H7" s="266"/>
      <x:c r="I7" s="267" t="str">
        <x:v>Port of Loading</x:v>
      </x:c>
      <x:c r="J7" s="446" t="str">
        <x:v>[POL]</x:v>
      </x:c>
      <x:c r="K7" s="268" t="str"/>
      <x:c r="L7" s="267" t="str">
        <x:v>Port of Discharge</x:v>
      </x:c>
      <x:c r="M7" s="446" t="str">
        <x:v>[POD]</x:v>
      </x:c>
      <x:c r="N7" s="268" t="str"/>
    </x:row>
    <x:row r="8">
      <x:c r="A8" s="267" t="str">
        <x:v>Prepared Date</x:v>
      </x:c>
      <x:c r="B8" s="446" t="str">
        <x:v>[YYYY-MM-DD]</x:v>
      </x:c>
      <x:c r="C8" s="268" t="str"/>
      <x:c r="D8" s="267" t="str">
        <x:v>Packing Site</x:v>
      </x:c>
      <x:c r="E8" s="446" t="str">
        <x:v>[FACTORY_OR_WAREHOUSE]</x:v>
      </x:c>
      <x:c r="F8" s="268" t="str"/>
      <x:c r="G8" s="268" t="str"/>
      <x:c r="H8" s="266"/>
      <x:c r="I8" s="267" t="str">
        <x:v>DPP QR Link</x:v>
      </x:c>
      <x:c r="J8" s="450" t="str">
        <x:v>https://dpp.weavecarbon.com/sample/WC-DEMO-001</x:v>
      </x:c>
      <x:c r="K8" s="268" t="str"/>
      <x:c r="L8" s="267" t="str">
        <x:v>Payload SHA-256</x:v>
      </x:c>
      <x:c r="M8" s="446" t="str">
        <x:v>[PAYLOAD_SHA256]</x:v>
      </x:c>
      <x:c r="N8" s="268" t="str"/>
    </x:row>
    <x:row r="9">
      <x:c r="A9" s="266"/>
      <x:c r="B9" s="266"/>
      <x:c r="C9" s="266"/>
      <x:c r="D9" s="266"/>
      <x:c r="E9" s="266"/>
      <x:c r="F9" s="266"/>
      <x:c r="G9" s="266"/>
      <x:c r="H9" s="266"/>
      <x:c r="I9" s="266"/>
      <x:c r="J9" s="266"/>
      <x:c r="K9" s="266"/>
      <x:c r="L9" s="266"/>
      <x:c r="M9" s="266"/>
      <x:c r="N9" s="266"/>
    </x:row>
    <x:row r="10" ht="22" customHeight="1">
      <x:c r="A10" s="399" t="str">
        <x:v>CARBON METADATA</x:v>
      </x:c>
      <x:c r="B10" s="400"/>
      <x:c r="C10" s="400"/>
      <x:c r="D10" s="400"/>
      <x:c r="E10" s="400"/>
      <x:c r="F10" s="400"/>
      <x:c r="G10" s="400"/>
      <x:c r="H10" s="400"/>
      <x:c r="I10" s="400"/>
      <x:c r="J10" s="400"/>
      <x:c r="K10" s="400"/>
      <x:c r="L10" s="400"/>
      <x:c r="M10" s="400"/>
      <x:c r="N10" s="451"/>
    </x:row>
    <x:row r="11">
      <x:c r="A11" s="267" t="str">
        <x:v>ISO Standard</x:v>
      </x:c>
      <x:c r="B11" s="446" t="str">
        <x:v>ISO 14067</x:v>
      </x:c>
      <x:c r="C11" s="268" t="str"/>
      <x:c r="D11" s="267" t="str">
        <x:v>Emission Factor Dataset</x:v>
      </x:c>
      <x:c r="E11" s="446" t="str">
        <x:v>DEFRA 2024</x:v>
      </x:c>
      <x:c r="F11" s="268" t="str"/>
      <x:c r="G11" s="267" t="str">
        <x:v>LCA Reference</x:v>
      </x:c>
      <x:c r="H11" s="446" t="str">
        <x:v>Ecoinvent / Higg MSI</x:v>
      </x:c>
      <x:c r="I11" s="268" t="str"/>
      <x:c r="J11" s="267" t="str">
        <x:v>Boundary</x:v>
      </x:c>
      <x:c r="K11" s="446" t="str">
        <x:v>Cradle-to-gate + logistics</x:v>
      </x:c>
      <x:c r="L11" s="268" t="str"/>
      <x:c r="M11" s="267" t="str">
        <x:v>Unit Basis</x:v>
      </x:c>
      <x:c r="N11" s="446" t="str">
        <x:v>per carton / per SKU</x:v>
      </x:c>
    </x:row>
    <x:row r="12">
      <x:c r="A12" s="267" t="str">
        <x:v>Carbon Data Status</x:v>
      </x:c>
      <x:c r="B12" s="446" t="str">
        <x:v>[DRAFT/VERIFIED]</x:v>
      </x:c>
      <x:c r="C12" s="268" t="str"/>
      <x:c r="D12" s="267" t="str">
        <x:v>Verifier</x:v>
      </x:c>
      <x:c r="E12" s="446" t="str">
        <x:v>[VERIFIER_NAME]</x:v>
      </x:c>
      <x:c r="F12" s="268" t="str"/>
      <x:c r="G12" s="267" t="str">
        <x:v>Calculation Timestamp</x:v>
      </x:c>
      <x:c r="H12" s="446" t="str">
        <x:v>[YYYY-MM-DD HH:MM]</x:v>
      </x:c>
      <x:c r="I12" s="268" t="str"/>
      <x:c r="J12" s="267" t="str">
        <x:v>Source System</x:v>
      </x:c>
      <x:c r="K12" s="446" t="str">
        <x:v>Weave Carbon</x:v>
      </x:c>
      <x:c r="L12" s="268" t="str"/>
      <x:c r="M12" s="267" t="str">
        <x:v>Template Lock</x:v>
      </x:c>
      <x:c r="N12" s="446" t="str">
        <x:v>Layout protected by convention</x:v>
      </x:c>
    </x:row>
    <x:row r="13">
      <x:c r="A13" s="266"/>
      <x:c r="B13" s="266"/>
      <x:c r="C13" s="266"/>
      <x:c r="D13" s="266"/>
      <x:c r="E13" s="266"/>
      <x:c r="F13" s="266"/>
      <x:c r="G13" s="266"/>
      <x:c r="H13" s="266"/>
      <x:c r="I13" s="266"/>
      <x:c r="J13" s="266"/>
      <x:c r="K13" s="266"/>
      <x:c r="L13" s="341" t="str">
        <x:v>QR_IMAGE_PLACEHOLDER</x:v>
      </x:c>
      <x:c r="M13" s="341"/>
      <x:c r="N13" s="341"/>
    </x:row>
    <x:row r="14">
      <x:c r="A14" s="266"/>
      <x:c r="B14" s="266"/>
      <x:c r="C14" s="266"/>
      <x:c r="D14" s="266"/>
      <x:c r="E14" s="266"/>
      <x:c r="F14" s="266"/>
      <x:c r="G14" s="266"/>
      <x:c r="H14" s="266"/>
      <x:c r="I14" s="266"/>
      <x:c r="J14" s="266"/>
      <x:c r="K14" s="266"/>
      <x:c r="L14" s="341" t="str">
        <x:v>Backend inserts QR SVG/PNG here</x:v>
      </x:c>
      <x:c r="M14" s="341"/>
      <x:c r="N14" s="341"/>
    </x:row>
    <x:row r="15">
      <x:c r="A15" s="266"/>
      <x:c r="B15" s="266"/>
      <x:c r="C15" s="266"/>
      <x:c r="D15" s="266"/>
      <x:c r="E15" s="266"/>
      <x:c r="F15" s="266"/>
      <x:c r="G15" s="266"/>
      <x:c r="H15" s="266"/>
      <x:c r="I15" s="266"/>
      <x:c r="J15" s="266"/>
      <x:c r="K15" s="266"/>
      <x:c r="L15" s="341"/>
      <x:c r="M15" s="341"/>
      <x:c r="N15" s="341"/>
    </x:row>
    <x:row r="16" ht="22" customHeight="1">
      <x:c r="A16" s="399" t="str">
        <x:v>PACKING LIST CARTON LINES</x:v>
      </x:c>
      <x:c r="B16" s="400"/>
      <x:c r="C16" s="400"/>
      <x:c r="D16" s="400"/>
      <x:c r="E16" s="400"/>
      <x:c r="F16" s="400"/>
      <x:c r="G16" s="400"/>
      <x:c r="H16" s="400"/>
      <x:c r="I16" s="400"/>
      <x:c r="J16" s="400"/>
      <x:c r="K16" s="400"/>
      <x:c r="L16" s="400"/>
      <x:c r="M16" s="400"/>
      <x:c r="N16" s="451"/>
    </x:row>
    <x:row r="17" ht="38" customHeight="1">
      <x:c r="A17" s="347" t="str">
        <x:v>Line No</x:v>
      </x:c>
      <x:c r="B17" s="347" t="str">
        <x:v>SKU
INPUT</x:v>
      </x:c>
      <x:c r="C17" s="347" t="str">
        <x:v>Carton No
INPUT</x:v>
      </x:c>
      <x:c r="D17" s="347" t="str">
        <x:v>Container No
INPUT</x:v>
      </x:c>
      <x:c r="E17" s="347" t="str">
        <x:v>Quantity per Carton
INPUT</x:v>
      </x:c>
      <x:c r="F17" s="347" t="str">
        <x:v>No. of Cartons
INPUT</x:v>
      </x:c>
      <x:c r="G17" s="347" t="str">
        <x:v>Total Quantity
FORMULA / DO NOT OVERWRITE</x:v>
      </x:c>
      <x:c r="H17" s="347" t="str">
        <x:v>Gross Weight kg
INPUT</x:v>
      </x:c>
      <x:c r="I17" s="347" t="str">
        <x:v>Net Weight kg
INPUT</x:v>
      </x:c>
      <x:c r="J17" s="347" t="str">
        <x:v>CBM
INPUT</x:v>
      </x:c>
      <x:c r="K17" s="347" t="str">
        <x:v>Embedded Carbon per Carton kgCO2e
INPUT</x:v>
      </x:c>
      <x:c r="L17" s="347" t="str">
        <x:v>Total Carton Carbon kgCO2e
FORMULA / DO NOT OVERWRITE</x:v>
      </x:c>
      <x:c r="M17" s="347" t="str">
        <x:v>Total Carton Carbon tCO2e
FORMULA / DO NOT OVERWRITE</x:v>
      </x:c>
      <x:c r="N17" s="347" t="str">
        <x:v>Notes
INPUT</x:v>
      </x:c>
    </x:row>
    <x:row r="18" ht="23" customHeight="1">
      <x:c r="A18" s="358" t="n">
        <x:v>1</x:v>
      </x:c>
      <x:c r="B18" s="368" t="str">
        <x:v>WC-TSHIRT-001</x:v>
      </x:c>
      <x:c r="C18" s="368" t="str">
        <x:v>CTN-001-020</x:v>
      </x:c>
      <x:c r="D18" s="368" t="str">
        <x:v>CONT-WC-001</x:v>
      </x:c>
      <x:c r="E18" s="369" t="n">
        <x:v>60</x:v>
      </x:c>
      <x:c r="F18" s="369" t="n">
        <x:v>20</x:v>
      </x:c>
      <x:c r="G18" s="392" t="n">
        <x:f>IFERROR(IF(OR(E18="",F18=""),"",E18*F18),"")</x:f>
        <x:v>1200</x:v>
      </x:c>
      <x:c r="H18" s="371" t="n">
        <x:v>240</x:v>
      </x:c>
      <x:c r="I18" s="371" t="n">
        <x:v>220</x:v>
      </x:c>
      <x:c r="J18" s="371" t="n">
        <x:v>2.4</x:v>
      </x:c>
      <x:c r="K18" s="371" t="n">
        <x:v>141</x:v>
      </x:c>
      <x:c r="L18" s="375" t="n">
        <x:f>IFERROR(IF(OR(F18="",K18=""),"",F18*K18),"")</x:f>
        <x:v>2820</x:v>
      </x:c>
      <x:c r="M18" s="375" t="n">
        <x:f>IFERROR(IF(L18="","",L18/1000),"")</x:f>
        <x:v>2.82</x:v>
      </x:c>
      <x:c r="N18" s="368" t="str">
        <x:v>Sample row: 20 cartons x 60 units</x:v>
      </x:c>
    </x:row>
    <x:row r="19" ht="23" customHeight="1">
      <x:c r="A19" s="358" t="n">
        <x:v>2</x:v>
      </x:c>
      <x:c r="B19" s="368" t="str"/>
      <x:c r="C19" s="368" t="str"/>
      <x:c r="D19" s="368" t="str"/>
      <x:c r="E19" s="369" t="str"/>
      <x:c r="F19" s="369" t="str"/>
      <x:c r="G19" s="392" t="str">
        <x:f>IFERROR(IF(OR(E19="",F19=""),"",E19*F19),"")</x:f>
      </x:c>
      <x:c r="H19" s="371" t="str"/>
      <x:c r="I19" s="371" t="str"/>
      <x:c r="J19" s="371" t="str"/>
      <x:c r="K19" s="371" t="str"/>
      <x:c r="L19" s="375" t="str">
        <x:f>IFERROR(IF(OR(F19="",K19=""),"",F19*K19),"")</x:f>
      </x:c>
      <x:c r="M19" s="375" t="str">
        <x:f>IFERROR(IF(L19="","",L19/1000),"")</x:f>
      </x:c>
      <x:c r="N19" s="368" t="str"/>
    </x:row>
    <x:row r="20" ht="23" customHeight="1">
      <x:c r="A20" s="358" t="n">
        <x:v>3</x:v>
      </x:c>
      <x:c r="B20" s="368" t="str"/>
      <x:c r="C20" s="368" t="str"/>
      <x:c r="D20" s="368" t="str"/>
      <x:c r="E20" s="369" t="str"/>
      <x:c r="F20" s="369" t="str"/>
      <x:c r="G20" s="392" t="str">
        <x:f>IFERROR(IF(OR(E20="",F20=""),"",E20*F20),"")</x:f>
      </x:c>
      <x:c r="H20" s="371" t="str"/>
      <x:c r="I20" s="371" t="str"/>
      <x:c r="J20" s="371" t="str"/>
      <x:c r="K20" s="371" t="str"/>
      <x:c r="L20" s="375" t="str">
        <x:f>IFERROR(IF(OR(F20="",K20=""),"",F20*K20),"")</x:f>
      </x:c>
      <x:c r="M20" s="375" t="str">
        <x:f>IFERROR(IF(L20="","",L20/1000),"")</x:f>
      </x:c>
      <x:c r="N20" s="368" t="str"/>
    </x:row>
    <x:row r="21" ht="23" customHeight="1">
      <x:c r="A21" s="358" t="n">
        <x:v>4</x:v>
      </x:c>
      <x:c r="B21" s="368" t="str"/>
      <x:c r="C21" s="368" t="str"/>
      <x:c r="D21" s="368" t="str"/>
      <x:c r="E21" s="369" t="str"/>
      <x:c r="F21" s="369" t="str"/>
      <x:c r="G21" s="392" t="str">
        <x:f>IFERROR(IF(OR(E21="",F21=""),"",E21*F21),"")</x:f>
      </x:c>
      <x:c r="H21" s="371" t="str"/>
      <x:c r="I21" s="371" t="str"/>
      <x:c r="J21" s="371" t="str"/>
      <x:c r="K21" s="371" t="str"/>
      <x:c r="L21" s="375" t="str">
        <x:f>IFERROR(IF(OR(F21="",K21=""),"",F21*K21),"")</x:f>
      </x:c>
      <x:c r="M21" s="375" t="str">
        <x:f>IFERROR(IF(L21="","",L21/1000),"")</x:f>
      </x:c>
      <x:c r="N21" s="368" t="str"/>
    </x:row>
    <x:row r="22" ht="23" customHeight="1">
      <x:c r="A22" s="358" t="n">
        <x:v>5</x:v>
      </x:c>
      <x:c r="B22" s="368" t="str"/>
      <x:c r="C22" s="368" t="str"/>
      <x:c r="D22" s="368" t="str"/>
      <x:c r="E22" s="369" t="str"/>
      <x:c r="F22" s="369" t="str"/>
      <x:c r="G22" s="392" t="str">
        <x:f>IFERROR(IF(OR(E22="",F22=""),"",E22*F22),"")</x:f>
      </x:c>
      <x:c r="H22" s="371" t="str"/>
      <x:c r="I22" s="371" t="str"/>
      <x:c r="J22" s="371" t="str"/>
      <x:c r="K22" s="371" t="str"/>
      <x:c r="L22" s="375" t="str">
        <x:f>IFERROR(IF(OR(F22="",K22=""),"",F22*K22),"")</x:f>
      </x:c>
      <x:c r="M22" s="375" t="str">
        <x:f>IFERROR(IF(L22="","",L22/1000),"")</x:f>
      </x:c>
      <x:c r="N22" s="368" t="str"/>
    </x:row>
    <x:row r="23" ht="23" customHeight="1">
      <x:c r="A23" s="358" t="n">
        <x:v>6</x:v>
      </x:c>
      <x:c r="B23" s="368" t="str"/>
      <x:c r="C23" s="368" t="str"/>
      <x:c r="D23" s="368" t="str"/>
      <x:c r="E23" s="369" t="str"/>
      <x:c r="F23" s="369" t="str"/>
      <x:c r="G23" s="392" t="str">
        <x:f>IFERROR(IF(OR(E23="",F23=""),"",E23*F23),"")</x:f>
      </x:c>
      <x:c r="H23" s="371" t="str"/>
      <x:c r="I23" s="371" t="str"/>
      <x:c r="J23" s="371" t="str"/>
      <x:c r="K23" s="371" t="str"/>
      <x:c r="L23" s="375" t="str">
        <x:f>IFERROR(IF(OR(F23="",K23=""),"",F23*K23),"")</x:f>
      </x:c>
      <x:c r="M23" s="375" t="str">
        <x:f>IFERROR(IF(L23="","",L23/1000),"")</x:f>
      </x:c>
      <x:c r="N23" s="368" t="str"/>
    </x:row>
    <x:row r="24" ht="23" customHeight="1">
      <x:c r="A24" s="358" t="n">
        <x:v>7</x:v>
      </x:c>
      <x:c r="B24" s="368" t="str"/>
      <x:c r="C24" s="368" t="str"/>
      <x:c r="D24" s="368" t="str"/>
      <x:c r="E24" s="369" t="str"/>
      <x:c r="F24" s="369" t="str"/>
      <x:c r="G24" s="392" t="str">
        <x:f>IFERROR(IF(OR(E24="",F24=""),"",E24*F24),"")</x:f>
      </x:c>
      <x:c r="H24" s="371" t="str"/>
      <x:c r="I24" s="371" t="str"/>
      <x:c r="J24" s="371" t="str"/>
      <x:c r="K24" s="371" t="str"/>
      <x:c r="L24" s="375" t="str">
        <x:f>IFERROR(IF(OR(F24="",K24=""),"",F24*K24),"")</x:f>
      </x:c>
      <x:c r="M24" s="375" t="str">
        <x:f>IFERROR(IF(L24="","",L24/1000),"")</x:f>
      </x:c>
      <x:c r="N24" s="368" t="str"/>
    </x:row>
    <x:row r="25" ht="23" customHeight="1">
      <x:c r="A25" s="358" t="n">
        <x:v>8</x:v>
      </x:c>
      <x:c r="B25" s="368" t="str"/>
      <x:c r="C25" s="368" t="str"/>
      <x:c r="D25" s="368" t="str"/>
      <x:c r="E25" s="369" t="str"/>
      <x:c r="F25" s="369" t="str"/>
      <x:c r="G25" s="392" t="str">
        <x:f>IFERROR(IF(OR(E25="",F25=""),"",E25*F25),"")</x:f>
      </x:c>
      <x:c r="H25" s="371" t="str"/>
      <x:c r="I25" s="371" t="str"/>
      <x:c r="J25" s="371" t="str"/>
      <x:c r="K25" s="371" t="str"/>
      <x:c r="L25" s="375" t="str">
        <x:f>IFERROR(IF(OR(F25="",K25=""),"",F25*K25),"")</x:f>
      </x:c>
      <x:c r="M25" s="375" t="str">
        <x:f>IFERROR(IF(L25="","",L25/1000),"")</x:f>
      </x:c>
      <x:c r="N25" s="368" t="str"/>
    </x:row>
    <x:row r="26" ht="23" customHeight="1">
      <x:c r="A26" s="358" t="n">
        <x:v>9</x:v>
      </x:c>
      <x:c r="B26" s="368" t="str"/>
      <x:c r="C26" s="368" t="str"/>
      <x:c r="D26" s="368" t="str"/>
      <x:c r="E26" s="369" t="str"/>
      <x:c r="F26" s="369" t="str"/>
      <x:c r="G26" s="392" t="str">
        <x:f>IFERROR(IF(OR(E26="",F26=""),"",E26*F26),"")</x:f>
      </x:c>
      <x:c r="H26" s="371" t="str"/>
      <x:c r="I26" s="371" t="str"/>
      <x:c r="J26" s="371" t="str"/>
      <x:c r="K26" s="371" t="str"/>
      <x:c r="L26" s="375" t="str">
        <x:f>IFERROR(IF(OR(F26="",K26=""),"",F26*K26),"")</x:f>
      </x:c>
      <x:c r="M26" s="375" t="str">
        <x:f>IFERROR(IF(L26="","",L26/1000),"")</x:f>
      </x:c>
      <x:c r="N26" s="368" t="str"/>
    </x:row>
    <x:row r="27" ht="23" customHeight="1">
      <x:c r="A27" s="358" t="n">
        <x:v>10</x:v>
      </x:c>
      <x:c r="B27" s="368" t="str"/>
      <x:c r="C27" s="368" t="str"/>
      <x:c r="D27" s="368" t="str"/>
      <x:c r="E27" s="369" t="str"/>
      <x:c r="F27" s="369" t="str"/>
      <x:c r="G27" s="392" t="str">
        <x:f>IFERROR(IF(OR(E27="",F27=""),"",E27*F27),"")</x:f>
      </x:c>
      <x:c r="H27" s="371" t="str"/>
      <x:c r="I27" s="371" t="str"/>
      <x:c r="J27" s="371" t="str"/>
      <x:c r="K27" s="371" t="str"/>
      <x:c r="L27" s="375" t="str">
        <x:f>IFERROR(IF(OR(F27="",K27=""),"",F27*K27),"")</x:f>
      </x:c>
      <x:c r="M27" s="375" t="str">
        <x:f>IFERROR(IF(L27="","",L27/1000),"")</x:f>
      </x:c>
      <x:c r="N27" s="368" t="str"/>
    </x:row>
    <x:row r="28" ht="23" customHeight="1">
      <x:c r="A28" s="358" t="n">
        <x:v>11</x:v>
      </x:c>
      <x:c r="B28" s="368" t="str"/>
      <x:c r="C28" s="368" t="str"/>
      <x:c r="D28" s="368" t="str"/>
      <x:c r="E28" s="369" t="str"/>
      <x:c r="F28" s="369" t="str"/>
      <x:c r="G28" s="392" t="str">
        <x:f>IFERROR(IF(OR(E28="",F28=""),"",E28*F28),"")</x:f>
      </x:c>
      <x:c r="H28" s="371" t="str"/>
      <x:c r="I28" s="371" t="str"/>
      <x:c r="J28" s="371" t="str"/>
      <x:c r="K28" s="371" t="str"/>
      <x:c r="L28" s="375" t="str">
        <x:f>IFERROR(IF(OR(F28="",K28=""),"",F28*K28),"")</x:f>
      </x:c>
      <x:c r="M28" s="375" t="str">
        <x:f>IFERROR(IF(L28="","",L28/1000),"")</x:f>
      </x:c>
      <x:c r="N28" s="368" t="str"/>
    </x:row>
    <x:row r="29" ht="23" customHeight="1">
      <x:c r="A29" s="358" t="n">
        <x:v>12</x:v>
      </x:c>
      <x:c r="B29" s="368" t="str"/>
      <x:c r="C29" s="368" t="str"/>
      <x:c r="D29" s="368" t="str"/>
      <x:c r="E29" s="369" t="str"/>
      <x:c r="F29" s="369" t="str"/>
      <x:c r="G29" s="392" t="str">
        <x:f>IFERROR(IF(OR(E29="",F29=""),"",E29*F29),"")</x:f>
      </x:c>
      <x:c r="H29" s="371" t="str"/>
      <x:c r="I29" s="371" t="str"/>
      <x:c r="J29" s="371" t="str"/>
      <x:c r="K29" s="371" t="str"/>
      <x:c r="L29" s="375" t="str">
        <x:f>IFERROR(IF(OR(F29="",K29=""),"",F29*K29),"")</x:f>
      </x:c>
      <x:c r="M29" s="375" t="str">
        <x:f>IFERROR(IF(L29="","",L29/1000),"")</x:f>
      </x:c>
      <x:c r="N29" s="368" t="str"/>
    </x:row>
    <x:row r="30" ht="23" customHeight="1">
      <x:c r="A30" s="358" t="n">
        <x:v>13</x:v>
      </x:c>
      <x:c r="B30" s="368" t="str"/>
      <x:c r="C30" s="368" t="str"/>
      <x:c r="D30" s="368" t="str"/>
      <x:c r="E30" s="369" t="str"/>
      <x:c r="F30" s="369" t="str"/>
      <x:c r="G30" s="392" t="str">
        <x:f>IFERROR(IF(OR(E30="",F30=""),"",E30*F30),"")</x:f>
      </x:c>
      <x:c r="H30" s="371" t="str"/>
      <x:c r="I30" s="371" t="str"/>
      <x:c r="J30" s="371" t="str"/>
      <x:c r="K30" s="371" t="str"/>
      <x:c r="L30" s="375" t="str">
        <x:f>IFERROR(IF(OR(F30="",K30=""),"",F30*K30),"")</x:f>
      </x:c>
      <x:c r="M30" s="375" t="str">
        <x:f>IFERROR(IF(L30="","",L30/1000),"")</x:f>
      </x:c>
      <x:c r="N30" s="368" t="str"/>
    </x:row>
    <x:row r="31" ht="23" customHeight="1">
      <x:c r="A31" s="358" t="n">
        <x:v>14</x:v>
      </x:c>
      <x:c r="B31" s="368" t="str"/>
      <x:c r="C31" s="368" t="str"/>
      <x:c r="D31" s="368" t="str"/>
      <x:c r="E31" s="369" t="str"/>
      <x:c r="F31" s="369" t="str"/>
      <x:c r="G31" s="392" t="str">
        <x:f>IFERROR(IF(OR(E31="",F31=""),"",E31*F31),"")</x:f>
      </x:c>
      <x:c r="H31" s="371" t="str"/>
      <x:c r="I31" s="371" t="str"/>
      <x:c r="J31" s="371" t="str"/>
      <x:c r="K31" s="371" t="str"/>
      <x:c r="L31" s="375" t="str">
        <x:f>IFERROR(IF(OR(F31="",K31=""),"",F31*K31),"")</x:f>
      </x:c>
      <x:c r="M31" s="375" t="str">
        <x:f>IFERROR(IF(L31="","",L31/1000),"")</x:f>
      </x:c>
      <x:c r="N31" s="368" t="str"/>
    </x:row>
    <x:row r="32" ht="23" customHeight="1">
      <x:c r="A32" s="358" t="n">
        <x:v>15</x:v>
      </x:c>
      <x:c r="B32" s="368" t="str"/>
      <x:c r="C32" s="368" t="str"/>
      <x:c r="D32" s="368" t="str"/>
      <x:c r="E32" s="369" t="str"/>
      <x:c r="F32" s="369" t="str"/>
      <x:c r="G32" s="392" t="str">
        <x:f>IFERROR(IF(OR(E32="",F32=""),"",E32*F32),"")</x:f>
      </x:c>
      <x:c r="H32" s="371" t="str"/>
      <x:c r="I32" s="371" t="str"/>
      <x:c r="J32" s="371" t="str"/>
      <x:c r="K32" s="371" t="str"/>
      <x:c r="L32" s="375" t="str">
        <x:f>IFERROR(IF(OR(F32="",K32=""),"",F32*K32),"")</x:f>
      </x:c>
      <x:c r="M32" s="375" t="str">
        <x:f>IFERROR(IF(L32="","",L32/1000),"")</x:f>
      </x:c>
      <x:c r="N32" s="368" t="str"/>
    </x:row>
    <x:row r="33" ht="23" customHeight="1">
      <x:c r="A33" s="358" t="n">
        <x:v>16</x:v>
      </x:c>
      <x:c r="B33" s="368" t="str"/>
      <x:c r="C33" s="368" t="str"/>
      <x:c r="D33" s="368" t="str"/>
      <x:c r="E33" s="369" t="str"/>
      <x:c r="F33" s="369" t="str"/>
      <x:c r="G33" s="392" t="str">
        <x:f>IFERROR(IF(OR(E33="",F33=""),"",E33*F33),"")</x:f>
      </x:c>
      <x:c r="H33" s="371" t="str"/>
      <x:c r="I33" s="371" t="str"/>
      <x:c r="J33" s="371" t="str"/>
      <x:c r="K33" s="371" t="str"/>
      <x:c r="L33" s="375" t="str">
        <x:f>IFERROR(IF(OR(F33="",K33=""),"",F33*K33),"")</x:f>
      </x:c>
      <x:c r="M33" s="375" t="str">
        <x:f>IFERROR(IF(L33="","",L33/1000),"")</x:f>
      </x:c>
      <x:c r="N33" s="368" t="str"/>
    </x:row>
    <x:row r="34" ht="23" customHeight="1">
      <x:c r="A34" s="358" t="n">
        <x:v>17</x:v>
      </x:c>
      <x:c r="B34" s="368" t="str"/>
      <x:c r="C34" s="368" t="str"/>
      <x:c r="D34" s="368" t="str"/>
      <x:c r="E34" s="369" t="str"/>
      <x:c r="F34" s="369" t="str"/>
      <x:c r="G34" s="392" t="str">
        <x:f>IFERROR(IF(OR(E34="",F34=""),"",E34*F34),"")</x:f>
      </x:c>
      <x:c r="H34" s="371" t="str"/>
      <x:c r="I34" s="371" t="str"/>
      <x:c r="J34" s="371" t="str"/>
      <x:c r="K34" s="371" t="str"/>
      <x:c r="L34" s="375" t="str">
        <x:f>IFERROR(IF(OR(F34="",K34=""),"",F34*K34),"")</x:f>
      </x:c>
      <x:c r="M34" s="375" t="str">
        <x:f>IFERROR(IF(L34="","",L34/1000),"")</x:f>
      </x:c>
      <x:c r="N34" s="368" t="str"/>
    </x:row>
    <x:row r="35" ht="23" customHeight="1">
      <x:c r="A35" s="358" t="n">
        <x:v>18</x:v>
      </x:c>
      <x:c r="B35" s="368" t="str"/>
      <x:c r="C35" s="368" t="str"/>
      <x:c r="D35" s="368" t="str"/>
      <x:c r="E35" s="369" t="str"/>
      <x:c r="F35" s="369" t="str"/>
      <x:c r="G35" s="392" t="str">
        <x:f>IFERROR(IF(OR(E35="",F35=""),"",E35*F35),"")</x:f>
      </x:c>
      <x:c r="H35" s="371" t="str"/>
      <x:c r="I35" s="371" t="str"/>
      <x:c r="J35" s="371" t="str"/>
      <x:c r="K35" s="371" t="str"/>
      <x:c r="L35" s="375" t="str">
        <x:f>IFERROR(IF(OR(F35="",K35=""),"",F35*K35),"")</x:f>
      </x:c>
      <x:c r="M35" s="375" t="str">
        <x:f>IFERROR(IF(L35="","",L35/1000),"")</x:f>
      </x:c>
      <x:c r="N35" s="368" t="str"/>
    </x:row>
    <x:row r="36" ht="23" customHeight="1">
      <x:c r="A36" s="358" t="n">
        <x:v>19</x:v>
      </x:c>
      <x:c r="B36" s="368" t="str"/>
      <x:c r="C36" s="368" t="str"/>
      <x:c r="D36" s="368" t="str"/>
      <x:c r="E36" s="369" t="str"/>
      <x:c r="F36" s="369" t="str"/>
      <x:c r="G36" s="392" t="str">
        <x:f>IFERROR(IF(OR(E36="",F36=""),"",E36*F36),"")</x:f>
      </x:c>
      <x:c r="H36" s="371" t="str"/>
      <x:c r="I36" s="371" t="str"/>
      <x:c r="J36" s="371" t="str"/>
      <x:c r="K36" s="371" t="str"/>
      <x:c r="L36" s="375" t="str">
        <x:f>IFERROR(IF(OR(F36="",K36=""),"",F36*K36),"")</x:f>
      </x:c>
      <x:c r="M36" s="375" t="str">
        <x:f>IFERROR(IF(L36="","",L36/1000),"")</x:f>
      </x:c>
      <x:c r="N36" s="368" t="str"/>
    </x:row>
    <x:row r="37" ht="23" customHeight="1">
      <x:c r="A37" s="358" t="n">
        <x:v>20</x:v>
      </x:c>
      <x:c r="B37" s="368" t="str"/>
      <x:c r="C37" s="368" t="str"/>
      <x:c r="D37" s="368" t="str"/>
      <x:c r="E37" s="369" t="str"/>
      <x:c r="F37" s="369" t="str"/>
      <x:c r="G37" s="392" t="str">
        <x:f>IFERROR(IF(OR(E37="",F37=""),"",E37*F37),"")</x:f>
      </x:c>
      <x:c r="H37" s="371" t="str"/>
      <x:c r="I37" s="371" t="str"/>
      <x:c r="J37" s="371" t="str"/>
      <x:c r="K37" s="371" t="str"/>
      <x:c r="L37" s="375" t="str">
        <x:f>IFERROR(IF(OR(F37="",K37=""),"",F37*K37),"")</x:f>
      </x:c>
      <x:c r="M37" s="375" t="str">
        <x:f>IFERROR(IF(L37="","",L37/1000),"")</x:f>
      </x:c>
      <x:c r="N37" s="368" t="str"/>
    </x:row>
    <x:row r="38" ht="26" customHeight="1">
      <x:c r="A38" s="380" t="str"/>
      <x:c r="B38" s="380" t="str"/>
      <x:c r="C38" s="380" t="str">
        <x:v>GRAND TOTAL</x:v>
      </x:c>
      <x:c r="D38" s="380" t="str"/>
      <x:c r="E38" s="381" t="str"/>
      <x:c r="F38" s="381" t="str"/>
      <x:c r="G38" s="381" t="n">
        <x:f>IFERROR(SUM(G18:G37),0)</x:f>
        <x:v>1200</x:v>
      </x:c>
      <x:c r="H38" s="383" t="n">
        <x:f>IFERROR(SUM(H18:H37),0)</x:f>
        <x:v>240</x:v>
      </x:c>
      <x:c r="I38" s="383" t="n">
        <x:f>IFERROR(SUM(I18:I37),0)</x:f>
        <x:v>220</x:v>
      </x:c>
      <x:c r="J38" s="383" t="n">
        <x:f>IFERROR(SUM(J18:J37),0)</x:f>
        <x:v>2.4</x:v>
      </x:c>
      <x:c r="K38" s="383" t="str"/>
      <x:c r="L38" s="383" t="n">
        <x:f>IFERROR(SUM(L18:L37),0)</x:f>
        <x:v>2820</x:v>
      </x:c>
      <x:c r="M38" s="383" t="n">
        <x:f>IFERROR(SUM(M18:M37),0)</x:f>
        <x:v>2.82</x:v>
      </x:c>
      <x:c r="N38" s="380" t="str"/>
    </x:row>
    <x:row r="39">
      <x:c r="A39" s="266"/>
      <x:c r="B39" s="266"/>
      <x:c r="C39" s="266"/>
      <x:c r="D39" s="266"/>
      <x:c r="E39" s="266"/>
      <x:c r="F39" s="266"/>
      <x:c r="G39" s="266"/>
      <x:c r="H39" s="266"/>
      <x:c r="I39" s="266"/>
      <x:c r="J39" s="266"/>
      <x:c r="K39" s="266"/>
      <x:c r="L39" s="266"/>
      <x:c r="M39" s="266"/>
      <x:c r="N39" s="266"/>
    </x:row>
    <x:row r="40">
      <x:c r="A40" s="266"/>
      <x:c r="B40" s="266"/>
      <x:c r="C40" s="266"/>
      <x:c r="D40" s="266"/>
      <x:c r="E40" s="266"/>
      <x:c r="F40" s="266"/>
      <x:c r="G40" s="266"/>
      <x:c r="H40" s="266"/>
      <x:c r="I40" s="266"/>
      <x:c r="J40" s="266"/>
      <x:c r="K40" s="266"/>
      <x:c r="L40" s="266"/>
      <x:c r="M40" s="266"/>
      <x:c r="N40" s="266"/>
    </x:row>
    <x:row r="41" ht="22" customHeight="1">
      <x:c r="A41" s="399" t="str">
        <x:v>CONTAINER SUMMARY</x:v>
      </x:c>
      <x:c r="B41" s="400"/>
      <x:c r="C41" s="400"/>
      <x:c r="D41" s="400"/>
      <x:c r="E41" s="400"/>
      <x:c r="F41" s="400"/>
      <x:c r="G41" s="400"/>
      <x:c r="H41" s="401"/>
      <x:c r="I41" s="266"/>
      <x:c r="J41" s="266"/>
      <x:c r="K41" s="266"/>
      <x:c r="L41" s="266"/>
      <x:c r="M41" s="266"/>
      <x:c r="N41" s="266"/>
    </x:row>
    <x:row r="42" ht="38" customHeight="1">
      <x:c r="A42" s="347" t="str">
        <x:v>Container No
INPUT</x:v>
      </x:c>
      <x:c r="B42" s="347" t="str">
        <x:v>Total Cartons
FORMULA / DO NOT OVERWRITE</x:v>
      </x:c>
      <x:c r="C42" s="347" t="str">
        <x:v>Total Quantity
FORMULA / DO NOT OVERWRITE</x:v>
      </x:c>
      <x:c r="D42" s="347" t="str">
        <x:v>Gross Weight kg
FORMULA / DO NOT OVERWRITE</x:v>
      </x:c>
      <x:c r="E42" s="347" t="str">
        <x:v>Net Weight kg
FORMULA / DO NOT OVERWRITE</x:v>
      </x:c>
      <x:c r="F42" s="347" t="str">
        <x:v>CBM
FORMULA / DO NOT OVERWRITE</x:v>
      </x:c>
      <x:c r="G42" s="347" t="str">
        <x:v>Total Carton Carbon kgCO2e
FORMULA / DO NOT OVERWRITE</x:v>
      </x:c>
      <x:c r="H42" s="347" t="str">
        <x:v>Total Carton Carbon tCO2e
FORMULA / DO NOT OVERWRITE</x:v>
      </x:c>
      <x:c r="I42" s="266"/>
      <x:c r="J42" s="266"/>
      <x:c r="K42" s="266"/>
      <x:c r="L42" s="266"/>
      <x:c r="M42" s="266"/>
      <x:c r="N42" s="266"/>
    </x:row>
    <x:row r="43" ht="23" customHeight="1">
      <x:c r="A43" s="368" t="str">
        <x:v>CONT-WC-001</x:v>
      </x:c>
      <x:c r="B43" s="375" t="n">
        <x:f>IFERROR(IF($A43="","",SUMIF($D$18:$D$37,$A43,$F$18:$F$37)),"")</x:f>
        <x:v>20</x:v>
      </x:c>
      <x:c r="C43" s="375" t="n">
        <x:f>IFERROR(IF($A43="","",SUMIF($D$18:$D$37,$A43,$G$18:$G$37)),"")</x:f>
        <x:v>1200</x:v>
      </x:c>
      <x:c r="D43" s="375" t="n">
        <x:f>IFERROR(IF($A43="","",SUMIF($D$18:$D$37,$A43,$H$18:$H$37)),"")</x:f>
        <x:v>240</x:v>
      </x:c>
      <x:c r="E43" s="375" t="n">
        <x:f>IFERROR(IF($A43="","",SUMIF($D$18:$D$37,$A43,$I$18:$I$37)),"")</x:f>
        <x:v>220</x:v>
      </x:c>
      <x:c r="F43" s="375" t="n">
        <x:f>IFERROR(IF($A43="","",SUMIF($D$18:$D$37,$A43,$J$18:$J$37)),"")</x:f>
        <x:v>2.4</x:v>
      </x:c>
      <x:c r="G43" s="375" t="n">
        <x:f>IFERROR(IF($A43="","",SUMIF($D$18:$D$37,$A43,$L$18:$L$37)),"")</x:f>
        <x:v>2820</x:v>
      </x:c>
      <x:c r="H43" s="416" t="n">
        <x:f>IFERROR(IF($A43="","",SUMIF($D$18:$D$37,$A43,$M$18:$M$37)),"")</x:f>
        <x:v>2.82</x:v>
      </x:c>
      <x:c r="I43" s="266"/>
      <x:c r="J43" s="266"/>
      <x:c r="K43" s="266"/>
      <x:c r="L43" s="266"/>
      <x:c r="M43" s="266"/>
      <x:c r="N43" s="266"/>
    </x:row>
    <x:row r="44" ht="23" customHeight="1">
      <x:c r="A44" s="368" t="str"/>
      <x:c r="B44" s="375" t="str">
        <x:f>IFERROR(IF($A44="","",SUMIF($D$18:$D$37,$A44,$F$18:$F$37)),"")</x:f>
      </x:c>
      <x:c r="C44" s="375" t="str">
        <x:f>IFERROR(IF($A44="","",SUMIF($D$18:$D$37,$A44,$G$18:$G$37)),"")</x:f>
      </x:c>
      <x:c r="D44" s="375" t="str">
        <x:f>IFERROR(IF($A44="","",SUMIF($D$18:$D$37,$A44,$H$18:$H$37)),"")</x:f>
      </x:c>
      <x:c r="E44" s="375" t="str">
        <x:f>IFERROR(IF($A44="","",SUMIF($D$18:$D$37,$A44,$I$18:$I$37)),"")</x:f>
      </x:c>
      <x:c r="F44" s="375" t="str">
        <x:f>IFERROR(IF($A44="","",SUMIF($D$18:$D$37,$A44,$J$18:$J$37)),"")</x:f>
      </x:c>
      <x:c r="G44" s="375" t="str">
        <x:f>IFERROR(IF($A44="","",SUMIF($D$18:$D$37,$A44,$L$18:$L$37)),"")</x:f>
      </x:c>
      <x:c r="H44" s="416" t="str">
        <x:f>IFERROR(IF($A44="","",SUMIF($D$18:$D$37,$A44,$M$18:$M$37)),"")</x:f>
      </x:c>
      <x:c r="I44" s="266"/>
      <x:c r="J44" s="266"/>
      <x:c r="K44" s="266"/>
      <x:c r="L44" s="266"/>
      <x:c r="M44" s="266"/>
      <x:c r="N44" s="266"/>
    </x:row>
    <x:row r="45" ht="23" customHeight="1">
      <x:c r="A45" s="368" t="str"/>
      <x:c r="B45" s="375" t="str">
        <x:f>IFERROR(IF($A45="","",SUMIF($D$18:$D$37,$A45,$F$18:$F$37)),"")</x:f>
      </x:c>
      <x:c r="C45" s="375" t="str">
        <x:f>IFERROR(IF($A45="","",SUMIF($D$18:$D$37,$A45,$G$18:$G$37)),"")</x:f>
      </x:c>
      <x:c r="D45" s="375" t="str">
        <x:f>IFERROR(IF($A45="","",SUMIF($D$18:$D$37,$A45,$H$18:$H$37)),"")</x:f>
      </x:c>
      <x:c r="E45" s="375" t="str">
        <x:f>IFERROR(IF($A45="","",SUMIF($D$18:$D$37,$A45,$I$18:$I$37)),"")</x:f>
      </x:c>
      <x:c r="F45" s="375" t="str">
        <x:f>IFERROR(IF($A45="","",SUMIF($D$18:$D$37,$A45,$J$18:$J$37)),"")</x:f>
      </x:c>
      <x:c r="G45" s="375" t="str">
        <x:f>IFERROR(IF($A45="","",SUMIF($D$18:$D$37,$A45,$L$18:$L$37)),"")</x:f>
      </x:c>
      <x:c r="H45" s="416" t="str">
        <x:f>IFERROR(IF($A45="","",SUMIF($D$18:$D$37,$A45,$M$18:$M$37)),"")</x:f>
      </x:c>
      <x:c r="I45" s="266"/>
      <x:c r="J45" s="266"/>
      <x:c r="K45" s="266"/>
      <x:c r="L45" s="266"/>
      <x:c r="M45" s="266"/>
      <x:c r="N45" s="266"/>
    </x:row>
    <x:row r="46" ht="23" customHeight="1">
      <x:c r="A46" s="368" t="str"/>
      <x:c r="B46" s="375" t="str">
        <x:f>IFERROR(IF($A46="","",SUMIF($D$18:$D$37,$A46,$F$18:$F$37)),"")</x:f>
      </x:c>
      <x:c r="C46" s="375" t="str">
        <x:f>IFERROR(IF($A46="","",SUMIF($D$18:$D$37,$A46,$G$18:$G$37)),"")</x:f>
      </x:c>
      <x:c r="D46" s="375" t="str">
        <x:f>IFERROR(IF($A46="","",SUMIF($D$18:$D$37,$A46,$H$18:$H$37)),"")</x:f>
      </x:c>
      <x:c r="E46" s="375" t="str">
        <x:f>IFERROR(IF($A46="","",SUMIF($D$18:$D$37,$A46,$I$18:$I$37)),"")</x:f>
      </x:c>
      <x:c r="F46" s="375" t="str">
        <x:f>IFERROR(IF($A46="","",SUMIF($D$18:$D$37,$A46,$J$18:$J$37)),"")</x:f>
      </x:c>
      <x:c r="G46" s="375" t="str">
        <x:f>IFERROR(IF($A46="","",SUMIF($D$18:$D$37,$A46,$L$18:$L$37)),"")</x:f>
      </x:c>
      <x:c r="H46" s="416" t="str">
        <x:f>IFERROR(IF($A46="","",SUMIF($D$18:$D$37,$A46,$M$18:$M$37)),"")</x:f>
      </x:c>
      <x:c r="I46" s="266"/>
      <x:c r="J46" s="266"/>
      <x:c r="K46" s="266"/>
      <x:c r="L46" s="266"/>
      <x:c r="M46" s="266"/>
      <x:c r="N46" s="266"/>
    </x:row>
    <x:row r="47" ht="23" customHeight="1">
      <x:c r="A47" s="368" t="str"/>
      <x:c r="B47" s="375" t="str">
        <x:f>IFERROR(IF($A47="","",SUMIF($D$18:$D$37,$A47,$F$18:$F$37)),"")</x:f>
      </x:c>
      <x:c r="C47" s="375" t="str">
        <x:f>IFERROR(IF($A47="","",SUMIF($D$18:$D$37,$A47,$G$18:$G$37)),"")</x:f>
      </x:c>
      <x:c r="D47" s="375" t="str">
        <x:f>IFERROR(IF($A47="","",SUMIF($D$18:$D$37,$A47,$H$18:$H$37)),"")</x:f>
      </x:c>
      <x:c r="E47" s="375" t="str">
        <x:f>IFERROR(IF($A47="","",SUMIF($D$18:$D$37,$A47,$I$18:$I$37)),"")</x:f>
      </x:c>
      <x:c r="F47" s="375" t="str">
        <x:f>IFERROR(IF($A47="","",SUMIF($D$18:$D$37,$A47,$J$18:$J$37)),"")</x:f>
      </x:c>
      <x:c r="G47" s="375" t="str">
        <x:f>IFERROR(IF($A47="","",SUMIF($D$18:$D$37,$A47,$L$18:$L$37)),"")</x:f>
      </x:c>
      <x:c r="H47" s="416" t="str">
        <x:f>IFERROR(IF($A47="","",SUMIF($D$18:$D$37,$A47,$M$18:$M$37)),"")</x:f>
      </x:c>
      <x:c r="I47" s="266"/>
      <x:c r="J47" s="266"/>
      <x:c r="K47" s="266"/>
      <x:c r="L47" s="266"/>
      <x:c r="M47" s="266"/>
      <x:c r="N47" s="266"/>
    </x:row>
    <x:row r="48" ht="23" customHeight="1">
      <x:c r="A48" s="368" t="str"/>
      <x:c r="B48" s="375" t="str">
        <x:f>IFERROR(IF($A48="","",SUMIF($D$18:$D$37,$A48,$F$18:$F$37)),"")</x:f>
      </x:c>
      <x:c r="C48" s="375" t="str">
        <x:f>IFERROR(IF($A48="","",SUMIF($D$18:$D$37,$A48,$G$18:$G$37)),"")</x:f>
      </x:c>
      <x:c r="D48" s="375" t="str">
        <x:f>IFERROR(IF($A48="","",SUMIF($D$18:$D$37,$A48,$H$18:$H$37)),"")</x:f>
      </x:c>
      <x:c r="E48" s="375" t="str">
        <x:f>IFERROR(IF($A48="","",SUMIF($D$18:$D$37,$A48,$I$18:$I$37)),"")</x:f>
      </x:c>
      <x:c r="F48" s="375" t="str">
        <x:f>IFERROR(IF($A48="","",SUMIF($D$18:$D$37,$A48,$J$18:$J$37)),"")</x:f>
      </x:c>
      <x:c r="G48" s="375" t="str">
        <x:f>IFERROR(IF($A48="","",SUMIF($D$18:$D$37,$A48,$L$18:$L$37)),"")</x:f>
      </x:c>
      <x:c r="H48" s="416" t="str">
        <x:f>IFERROR(IF($A48="","",SUMIF($D$18:$D$37,$A48,$M$18:$M$37)),"")</x:f>
      </x:c>
      <x:c r="I48" s="266"/>
      <x:c r="J48" s="266"/>
      <x:c r="K48" s="266"/>
      <x:c r="L48" s="266"/>
      <x:c r="M48" s="266"/>
      <x:c r="N48" s="266"/>
    </x:row>
    <x:row r="49" ht="26" customHeight="1">
      <x:c r="A49" s="380" t="str">
        <x:v>TOTAL ALL CONTAINERS</x:v>
      </x:c>
      <x:c r="B49" s="383" t="n">
        <x:f>IFERROR(SUM(B43:B48),0)</x:f>
        <x:v>20</x:v>
      </x:c>
      <x:c r="C49" s="383" t="n">
        <x:f>IFERROR(SUM(C43:C48),0)</x:f>
        <x:v>1200</x:v>
      </x:c>
      <x:c r="D49" s="383" t="n">
        <x:f>IFERROR(SUM(D43:D48),0)</x:f>
        <x:v>240</x:v>
      </x:c>
      <x:c r="E49" s="383" t="n">
        <x:f>IFERROR(SUM(E43:E48),0)</x:f>
        <x:v>220</x:v>
      </x:c>
      <x:c r="F49" s="383" t="n">
        <x:f>IFERROR(SUM(F43:F48),0)</x:f>
        <x:v>2.4</x:v>
      </x:c>
      <x:c r="G49" s="383" t="n">
        <x:f>IFERROR(SUM(G43:G48),0)</x:f>
        <x:v>2820</x:v>
      </x:c>
      <x:c r="H49" s="417" t="n">
        <x:f>IFERROR(SUM(H43:H48),0)</x:f>
        <x:v>2.82</x:v>
      </x:c>
      <x:c r="I49" s="266"/>
      <x:c r="J49" s="266"/>
      <x:c r="K49" s="266"/>
      <x:c r="L49" s="266"/>
      <x:c r="M49" s="266"/>
      <x:c r="N49" s="266"/>
    </x:row>
    <x:row r="50">
      <x:c r="A50" s="266"/>
      <x:c r="B50" s="266"/>
      <x:c r="C50" s="266"/>
      <x:c r="D50" s="266"/>
      <x:c r="E50" s="266"/>
      <x:c r="F50" s="266"/>
      <x:c r="G50" s="266"/>
      <x:c r="H50" s="266"/>
      <x:c r="I50" s="266"/>
      <x:c r="J50" s="266"/>
      <x:c r="K50" s="266"/>
      <x:c r="L50" s="266"/>
      <x:c r="M50" s="266"/>
      <x:c r="N50" s="266"/>
    </x:row>
    <x:row r="51">
      <x:c r="A51" s="266"/>
      <x:c r="B51" s="266"/>
      <x:c r="C51" s="266"/>
      <x:c r="D51" s="266"/>
      <x:c r="E51" s="266"/>
      <x:c r="F51" s="266"/>
      <x:c r="G51" s="266"/>
      <x:c r="H51" s="266"/>
      <x:c r="I51" s="266"/>
      <x:c r="J51" s="266"/>
      <x:c r="K51" s="266"/>
      <x:c r="L51" s="266"/>
      <x:c r="M51" s="266"/>
      <x:c r="N51" s="266"/>
    </x:row>
    <x:row r="52" ht="22" customHeight="1">
      <x:c r="A52" s="284" t="str">
        <x:v>Prepared by</x:v>
      </x:c>
      <x:c r="B52" s="284"/>
      <x:c r="C52" s="284"/>
      <x:c r="D52" s="284"/>
      <x:c r="E52" s="284"/>
      <x:c r="F52" s="284" t="str">
        <x:v>Checked by</x:v>
      </x:c>
      <x:c r="G52" s="284"/>
      <x:c r="H52" s="284"/>
      <x:c r="I52" s="284"/>
      <x:c r="J52" s="284"/>
      <x:c r="K52" s="284" t="str">
        <x:v>Authorized Signatory</x:v>
      </x:c>
      <x:c r="L52" s="284"/>
      <x:c r="M52" s="284"/>
      <x:c r="N52" s="284"/>
    </x:row>
    <x:row r="53" ht="22" customHeight="1">
      <x:c r="A53" s="285" t="str"/>
      <x:c r="B53" s="285"/>
      <x:c r="C53" s="285"/>
      <x:c r="D53" s="285"/>
      <x:c r="E53" s="285"/>
      <x:c r="F53" s="285" t="str"/>
      <x:c r="G53" s="285"/>
      <x:c r="H53" s="285"/>
      <x:c r="I53" s="285"/>
      <x:c r="J53" s="285"/>
      <x:c r="K53" s="285" t="str"/>
      <x:c r="L53" s="285"/>
      <x:c r="M53" s="285"/>
      <x:c r="N53" s="285"/>
    </x:row>
    <x:row r="54" ht="22" customHeight="1">
      <x:c r="A54" s="285"/>
      <x:c r="B54" s="285"/>
      <x:c r="C54" s="285"/>
      <x:c r="D54" s="285"/>
      <x:c r="E54" s="285"/>
      <x:c r="F54" s="285"/>
      <x:c r="G54" s="285"/>
      <x:c r="H54" s="285"/>
      <x:c r="I54" s="285"/>
      <x:c r="J54" s="285"/>
      <x:c r="K54" s="285"/>
      <x:c r="L54" s="285"/>
      <x:c r="M54" s="285"/>
      <x:c r="N54" s="285"/>
    </x:row>
    <x:row r="55" ht="22" customHeight="1">
      <x:c r="A55" s="285"/>
      <x:c r="B55" s="285"/>
      <x:c r="C55" s="285"/>
      <x:c r="D55" s="285"/>
      <x:c r="E55" s="285"/>
      <x:c r="F55" s="285"/>
      <x:c r="G55" s="285"/>
      <x:c r="H55" s="285"/>
      <x:c r="I55" s="285"/>
      <x:c r="J55" s="285"/>
      <x:c r="K55" s="285"/>
      <x:c r="L55" s="285"/>
      <x:c r="M55" s="285"/>
      <x:c r="N55" s="285"/>
    </x:row>
    <x:row r="56" ht="22" customHeight="1">
      <x:c r="A56" s="285"/>
      <x:c r="B56" s="285"/>
      <x:c r="C56" s="285"/>
      <x:c r="D56" s="285"/>
      <x:c r="E56" s="285"/>
      <x:c r="F56" s="285"/>
      <x:c r="G56" s="285"/>
      <x:c r="H56" s="285"/>
      <x:c r="I56" s="285"/>
      <x:c r="J56" s="285"/>
      <x:c r="K56" s="285"/>
      <x:c r="L56" s="285"/>
      <x:c r="M56" s="285"/>
      <x:c r="N56" s="285"/>
    </x:row>
    <x:row r="57" ht="18" customHeight="1">
      <x:c r="A57" s="286" t="str">
        <x:v>Name / Date / Signature</x:v>
      </x:c>
      <x:c r="B57" s="286"/>
      <x:c r="C57" s="286"/>
      <x:c r="D57" s="286"/>
      <x:c r="E57" s="286"/>
      <x:c r="F57" s="286" t="str">
        <x:v>Name / Date / Signature</x:v>
      </x:c>
      <x:c r="G57" s="286"/>
      <x:c r="H57" s="286"/>
      <x:c r="I57" s="286"/>
      <x:c r="J57" s="286"/>
      <x:c r="K57" s="286" t="str">
        <x:v>Name / Date / Signature</x:v>
      </x:c>
      <x:c r="L57" s="286"/>
      <x:c r="M57" s="286"/>
      <x:c r="N57" s="286"/>
    </x:row>
    <x:row r="58">
      <x:c r="A58" s="266"/>
      <x:c r="B58" s="266"/>
      <x:c r="C58" s="266"/>
      <x:c r="D58" s="266"/>
      <x:c r="E58" s="266"/>
      <x:c r="F58" s="266"/>
      <x:c r="G58" s="266"/>
      <x:c r="H58" s="266"/>
      <x:c r="I58" s="266"/>
      <x:c r="J58" s="266"/>
      <x:c r="K58" s="266"/>
      <x:c r="L58" s="266"/>
      <x:c r="M58" s="266"/>
      <x:c r="N58" s="266"/>
    </x:row>
    <x:row r="59">
      <x:c r="A59" s="266"/>
      <x:c r="B59" s="266"/>
      <x:c r="C59" s="266"/>
      <x:c r="D59" s="266"/>
      <x:c r="E59" s="266"/>
      <x:c r="F59" s="266"/>
      <x:c r="G59" s="266"/>
      <x:c r="H59" s="266"/>
      <x:c r="I59" s="266"/>
      <x:c r="J59" s="266"/>
      <x:c r="K59" s="266"/>
      <x:c r="L59" s="266"/>
      <x:c r="M59" s="266"/>
      <x:c r="N59" s="266"/>
    </x:row>
    <x:row r="60">
      <x:c r="A60" s="266"/>
      <x:c r="B60" s="266"/>
      <x:c r="C60" s="266"/>
      <x:c r="D60" s="266"/>
      <x:c r="E60" s="266"/>
      <x:c r="F60" s="266"/>
      <x:c r="G60" s="266"/>
      <x:c r="H60" s="266"/>
      <x:c r="I60" s="266"/>
      <x:c r="J60" s="266"/>
      <x:c r="K60" s="266"/>
      <x:c r="L60" s="266"/>
      <x:c r="M60" s="266"/>
      <x:c r="N60" s="266"/>
    </x:row>
    <x:row r="61" ht="18" customHeight="1">
      <x:c r="A61" s="287" t="str">
        <x:v>Weave Carbon Template Engine | Packing List | Fixed mapping: header A5:N12, table PL_CartonLines A17:N37, container summary A42:H49 | Do not overwrite formula cells</x:v>
      </x:c>
      <x:c r="B61" s="288"/>
      <x:c r="C61" s="288"/>
      <x:c r="D61" s="288"/>
      <x:c r="E61" s="288"/>
      <x:c r="F61" s="288"/>
      <x:c r="G61" s="288"/>
      <x:c r="H61" s="288"/>
      <x:c r="I61" s="288"/>
      <x:c r="J61" s="288"/>
      <x:c r="K61" s="288"/>
      <x:c r="L61" s="288"/>
      <x:c r="M61" s="288"/>
      <x:c r="N61" s="289"/>
    </x:row>
  </x:sheetData>
  <x:mergeCells>
    <x:mergeCell ref="A1:N1"/>
    <x:mergeCell ref="A3:N3"/>
    <x:mergeCell ref="A4:G4"/>
    <x:mergeCell ref="I4:N4"/>
    <x:mergeCell ref="B5:C5"/>
    <x:mergeCell ref="E5:G5"/>
    <x:mergeCell ref="B6:G6"/>
    <x:mergeCell ref="B7:C7"/>
    <x:mergeCell ref="E7:G7"/>
    <x:mergeCell ref="B8:C8"/>
    <x:mergeCell ref="E8:G8"/>
    <x:mergeCell ref="J5:N5"/>
    <x:mergeCell ref="J6:K6"/>
    <x:mergeCell ref="M6:N6"/>
    <x:mergeCell ref="J7:K7"/>
    <x:mergeCell ref="M7:N7"/>
    <x:mergeCell ref="J8:K8"/>
    <x:mergeCell ref="M8:N8"/>
    <x:mergeCell ref="A10:N10"/>
    <x:mergeCell ref="B11:C11"/>
    <x:mergeCell ref="E11:F11"/>
    <x:mergeCell ref="H11:I11"/>
    <x:mergeCell ref="K11:L11"/>
    <x:mergeCell ref="B12:C12"/>
    <x:mergeCell ref="E12:F12"/>
    <x:mergeCell ref="H12:I12"/>
    <x:mergeCell ref="K12:L12"/>
    <x:mergeCell ref="A16:N16"/>
    <x:mergeCell ref="A41:G41"/>
    <x:mergeCell ref="A52:E52"/>
    <x:mergeCell ref="A53:E56"/>
    <x:mergeCell ref="A57:E57"/>
    <x:mergeCell ref="F52:J52"/>
    <x:mergeCell ref="F53:J56"/>
    <x:mergeCell ref="F57:J57"/>
    <x:mergeCell ref="K52:N52"/>
    <x:mergeCell ref="K53:N56"/>
    <x:mergeCell ref="K57:N57"/>
    <x:mergeCell ref="A61:N61"/>
    <x:mergeCell ref="A41:H41"/>
  </x:mergeCells>
  <x:pageMargins left="0.7" right="0.7" top="0.75" bottom="0.75" header="0.3" footer="0.3"/>
  <x:tableParts count="4">
    <x:tablePart xmlns:r="http://schemas.openxmlformats.org/officeDocument/2006/relationships" r:id="Redb9dc060ed144f6"/>
    <x:tablePart xmlns:r="http://schemas.openxmlformats.org/officeDocument/2006/relationships" r:id="Rc116486a96f043f5"/>
    <x:tablePart xmlns:r="http://schemas.openxmlformats.org/officeDocument/2006/relationships" r:id="Rcc962442d4c947ea"/>
    <x:tablePart xmlns:r="http://schemas.openxmlformats.org/officeDocument/2006/relationships" r:id="R737cf9fef73d47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2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0" customHeight="1">
      <x:c r="A1" s="333" t="str">
        <x:v>WEAVE CARBON | BILL OF LADING - CARBON ANNEX</x:v>
      </x:c>
      <x:c r="B1" s="334"/>
      <x:c r="C1" s="334"/>
      <x:c r="D1" s="334"/>
      <x:c r="E1" s="334"/>
      <x:c r="F1" s="334"/>
      <x:c r="G1" s="334"/>
      <x:c r="H1" s="334"/>
      <x:c r="I1" s="334"/>
      <x:c r="J1" s="334"/>
      <x:c r="K1" s="334"/>
      <x:c r="L1" s="334"/>
      <x:c r="M1" s="334"/>
      <x:c r="N1" s="334"/>
      <x:c r="O1" s="334"/>
      <x:c r="P1" s="335"/>
    </x:row>
    <x:row r="2" ht="21" customHeight="1">
      <x:c r="A2" s="261" t="str">
        <x:v>Template ID</x:v>
      </x:c>
      <x:c r="B2" s="261" t="str">
        <x:v>WC-EXP-BLCA-001</x:v>
      </x:c>
      <x:c r="C2" s="261" t="str">
        <x:v>Version</x:v>
      </x:c>
      <x:c r="D2" s="261" t="str">
        <x:v>v1.0</x:v>
      </x:c>
      <x:c r="E2" s="261" t="str">
        <x:v>Data Start Row</x:v>
      </x:c>
      <x:c r="F2" s="261" t="n">
        <x:v>18</x:v>
      </x:c>
      <x:c r="G2" s="261" t="str">
        <x:v>Primary Table</x:v>
      </x:c>
      <x:c r="H2" s="261" t="str">
        <x:v>BL_CarbonLegs</x:v>
      </x:c>
      <x:c r="I2" s="261" t="str"/>
      <x:c r="J2" s="261" t="str"/>
      <x:c r="K2" s="261" t="str"/>
      <x:c r="L2" s="261" t="str"/>
      <x:c r="M2" s="261" t="str"/>
      <x:c r="N2" s="261" t="str"/>
      <x:c r="O2" s="261" t="str"/>
      <x:c r="P2" s="261" t="str"/>
    </x:row>
    <x:row r="3" ht="20" customHeight="1">
      <x:c r="A3" s="488" t="str">
        <x:v>Developer note: fill only white / pale green input cells and table columns; keep formula cells, totals, layout, header/footer, and table names unchanged.</x:v>
      </x:c>
      <x:c r="B3" s="489"/>
      <x:c r="C3" s="489"/>
      <x:c r="D3" s="489"/>
      <x:c r="E3" s="489"/>
      <x:c r="F3" s="489"/>
      <x:c r="G3" s="489"/>
      <x:c r="H3" s="489"/>
      <x:c r="I3" s="489"/>
      <x:c r="J3" s="489"/>
      <x:c r="K3" s="489"/>
      <x:c r="L3" s="489"/>
      <x:c r="M3" s="489"/>
      <x:c r="N3" s="489"/>
      <x:c r="O3" s="489"/>
      <x:c r="P3" s="490"/>
    </x:row>
    <x:row r="4" ht="22" customHeight="1">
      <x:c r="A4" s="399" t="str">
        <x:v>B/L &amp; SHIPMENT IDENTIFICATION</x:v>
      </x:c>
      <x:c r="B4" s="400"/>
      <x:c r="C4" s="400"/>
      <x:c r="D4" s="400"/>
      <x:c r="E4" s="400"/>
      <x:c r="F4" s="400"/>
      <x:c r="G4" s="400"/>
      <x:c r="H4" s="400"/>
      <x:c r="I4" s="401"/>
      <x:c r="J4" s="399" t="str">
        <x:v>CARBON METHODOLOGY &amp; DIGITAL TRACEABILITY</x:v>
      </x:c>
      <x:c r="K4" s="400"/>
      <x:c r="L4" s="400"/>
      <x:c r="M4" s="400"/>
      <x:c r="N4" s="400"/>
      <x:c r="O4" s="400"/>
      <x:c r="P4" s="451"/>
    </x:row>
    <x:row r="5">
      <x:c r="A5" s="267" t="str">
        <x:v>B/L No</x:v>
      </x:c>
      <x:c r="B5" s="446" t="str">
        <x:v>[BL_NO]</x:v>
      </x:c>
      <x:c r="C5" s="268" t="str"/>
      <x:c r="D5" s="267" t="str">
        <x:v>Booking No</x:v>
      </x:c>
      <x:c r="E5" s="446" t="str">
        <x:v>[BOOKING_NO]</x:v>
      </x:c>
      <x:c r="F5" s="268" t="str"/>
      <x:c r="G5" s="267" t="str">
        <x:v>Carrier</x:v>
      </x:c>
      <x:c r="H5" s="446" t="str">
        <x:v>[CARRIER_NAME]</x:v>
      </x:c>
      <x:c r="I5" s="266"/>
      <x:c r="J5" s="267" t="str">
        <x:v>ISO Standard</x:v>
      </x:c>
      <x:c r="K5" s="446" t="str">
        <x:v>ISO 14067</x:v>
      </x:c>
      <x:c r="L5" s="268" t="str"/>
      <x:c r="M5" s="267" t="str">
        <x:v>DEFRA Dataset</x:v>
      </x:c>
      <x:c r="N5" s="446" t="str">
        <x:v>DEFRA 2024</x:v>
      </x:c>
      <x:c r="O5" s="268" t="str"/>
      <x:c r="P5" s="268" t="str"/>
    </x:row>
    <x:row r="6">
      <x:c r="A6" s="267" t="str">
        <x:v>Vessel / Voyage</x:v>
      </x:c>
      <x:c r="B6" s="446" t="str">
        <x:v>[VESSEL_VOYAGE]</x:v>
      </x:c>
      <x:c r="C6" s="268" t="str"/>
      <x:c r="D6" s="267" t="str">
        <x:v>Container No</x:v>
      </x:c>
      <x:c r="E6" s="446" t="str">
        <x:v>[CONTAINER_NO]</x:v>
      </x:c>
      <x:c r="F6" s="268" t="str"/>
      <x:c r="G6" s="267" t="str">
        <x:v>Seal No</x:v>
      </x:c>
      <x:c r="H6" s="446" t="str">
        <x:v>[SEAL_NO]</x:v>
      </x:c>
      <x:c r="I6" s="266"/>
      <x:c r="J6" s="267" t="str">
        <x:v>LCA Reference</x:v>
      </x:c>
      <x:c r="K6" s="446" t="str">
        <x:v>Ecoinvent / Higg MSI</x:v>
      </x:c>
      <x:c r="L6" s="268" t="str"/>
      <x:c r="M6" s="267" t="str">
        <x:v>Calculation Boundary</x:v>
      </x:c>
      <x:c r="N6" s="446" t="str">
        <x:v>Product embedded + logistics</x:v>
      </x:c>
      <x:c r="O6" s="268" t="str"/>
      <x:c r="P6" s="268" t="str"/>
    </x:row>
    <x:row r="7">
      <x:c r="A7" s="267" t="str">
        <x:v>PO / Contract ID</x:v>
      </x:c>
      <x:c r="B7" s="446" t="str">
        <x:v>[PO_CONTRACT_ID]</x:v>
      </x:c>
      <x:c r="C7" s="268" t="str"/>
      <x:c r="D7" s="267" t="str">
        <x:v>Customs Declaration No</x:v>
      </x:c>
      <x:c r="E7" s="446" t="str">
        <x:v>[CUSTOMS_DECL_NO]</x:v>
      </x:c>
      <x:c r="F7" s="268" t="str"/>
      <x:c r="G7" s="267" t="str">
        <x:v>Incoterms</x:v>
      </x:c>
      <x:c r="H7" s="446" t="str">
        <x:v>[INCOTERMS]</x:v>
      </x:c>
      <x:c r="I7" s="266"/>
      <x:c r="J7" s="267" t="str">
        <x:v>Payload SHA-256</x:v>
      </x:c>
      <x:c r="K7" s="446" t="str">
        <x:v>[PAYLOAD_SHA256]</x:v>
      </x:c>
      <x:c r="L7" s="268" t="str"/>
      <x:c r="M7" s="268" t="str"/>
      <x:c r="N7" s="446" t="str"/>
      <x:c r="O7" s="268" t="str"/>
      <x:c r="P7" s="268" t="str"/>
    </x:row>
    <x:row r="8">
      <x:c r="A8" s="267" t="str">
        <x:v>Port of Loading</x:v>
      </x:c>
      <x:c r="B8" s="446" t="str">
        <x:v>[POL]</x:v>
      </x:c>
      <x:c r="C8" s="268" t="str"/>
      <x:c r="D8" s="267" t="str">
        <x:v>Port of Discharge</x:v>
      </x:c>
      <x:c r="E8" s="446" t="str">
        <x:v>[POD]</x:v>
      </x:c>
      <x:c r="F8" s="268" t="str"/>
      <x:c r="G8" s="267" t="str">
        <x:v>Final Destination</x:v>
      </x:c>
      <x:c r="H8" s="446" t="str">
        <x:v>[FINAL_DESTINATION]</x:v>
      </x:c>
      <x:c r="I8" s="266"/>
      <x:c r="J8" s="267" t="str">
        <x:v>DPP QR Link</x:v>
      </x:c>
      <x:c r="K8" s="450" t="str">
        <x:v>https://dpp.weavecarbon.com/sample/WC-DEMO-001</x:v>
      </x:c>
      <x:c r="L8" s="268" t="str"/>
      <x:c r="M8" s="268" t="str"/>
      <x:c r="N8" s="446" t="str"/>
      <x:c r="O8" s="268" t="str"/>
      <x:c r="P8" s="268" t="str"/>
    </x:row>
    <x:row r="9">
      <x:c r="A9" s="267" t="str">
        <x:v>Shipment Date</x:v>
      </x:c>
      <x:c r="B9" s="446" t="str">
        <x:v>[YYYY-MM-DD]</x:v>
      </x:c>
      <x:c r="C9" s="268" t="str"/>
      <x:c r="D9" s="267" t="str">
        <x:v>Cargo Description</x:v>
      </x:c>
      <x:c r="E9" s="446" t="str">
        <x:v>[TEXTILE_PRODUCTS]</x:v>
      </x:c>
      <x:c r="F9" s="268" t="str"/>
      <x:c r="G9" s="267" t="str">
        <x:v>Gross Weight t</x:v>
      </x:c>
      <x:c r="H9" s="446" t="str">
        <x:v>[GROSS_WEIGHT_T]</x:v>
      </x:c>
      <x:c r="I9" s="266"/>
      <x:c r="J9" s="267" t="str">
        <x:v>Annex Status</x:v>
      </x:c>
      <x:c r="K9" s="446" t="str">
        <x:v>[DRAFT/VERIFIED]</x:v>
      </x:c>
      <x:c r="L9" s="268" t="str"/>
      <x:c r="M9" s="267" t="str">
        <x:v>Verifier</x:v>
      </x:c>
      <x:c r="N9" s="446" t="str">
        <x:v>[VERIFIER_NAME]</x:v>
      </x:c>
      <x:c r="O9" s="268" t="str"/>
      <x:c r="P9" s="268" t="str"/>
    </x:row>
    <x:row r="10">
      <x:c r="A10" s="266"/>
      <x:c r="B10" s="266"/>
      <x:c r="C10" s="266"/>
      <x:c r="D10" s="266"/>
      <x:c r="E10" s="266"/>
      <x:c r="F10" s="266"/>
      <x:c r="G10" s="266"/>
      <x:c r="H10" s="266"/>
      <x:c r="I10" s="266"/>
      <x:c r="J10" s="266"/>
      <x:c r="K10" s="266"/>
      <x:c r="L10" s="266"/>
      <x:c r="M10" s="266"/>
      <x:c r="N10" s="341" t="str">
        <x:v>QR_IMAGE_PLACEHOLDER</x:v>
      </x:c>
      <x:c r="O10" s="341"/>
      <x:c r="P10" s="341"/>
    </x:row>
    <x:row r="11">
      <x:c r="A11" s="266"/>
      <x:c r="B11" s="266"/>
      <x:c r="C11" s="266"/>
      <x:c r="D11" s="266"/>
      <x:c r="E11" s="266"/>
      <x:c r="F11" s="266"/>
      <x:c r="G11" s="266"/>
      <x:c r="H11" s="266"/>
      <x:c r="I11" s="266"/>
      <x:c r="J11" s="266"/>
      <x:c r="K11" s="266"/>
      <x:c r="L11" s="266"/>
      <x:c r="M11" s="266"/>
      <x:c r="N11" s="341" t="str">
        <x:v>Backend inserts QR SVG/PNG here</x:v>
      </x:c>
      <x:c r="O11" s="341"/>
      <x:c r="P11" s="341"/>
    </x:row>
    <x:row r="12" ht="22" customHeight="1">
      <x:c r="A12" s="399" t="str">
        <x:v>BILL OF LADING CARBON ANNEX LINE ITEMS</x:v>
      </x:c>
      <x:c r="B12" s="400"/>
      <x:c r="C12" s="400"/>
      <x:c r="D12" s="400"/>
      <x:c r="E12" s="400"/>
      <x:c r="F12" s="400"/>
      <x:c r="G12" s="400"/>
      <x:c r="H12" s="400"/>
      <x:c r="I12" s="400"/>
      <x:c r="J12" s="400"/>
      <x:c r="K12" s="400"/>
      <x:c r="L12" s="400"/>
      <x:c r="M12" s="400"/>
      <x:c r="N12" s="455"/>
      <x:c r="O12" s="455"/>
      <x:c r="P12" s="456"/>
    </x:row>
    <x:row r="13">
      <x:c r="A13" s="322" t="str">
        <x:v>Route and carrier fields</x:v>
      </x:c>
      <x:c r="B13" s="322" t="str"/>
      <x:c r="C13" s="322" t="str"/>
      <x:c r="D13" s="322" t="str"/>
      <x:c r="E13" s="322" t="str"/>
      <x:c r="F13" s="322" t="str"/>
      <x:c r="G13" s="322" t="str"/>
      <x:c r="H13" s="322" t="str">
        <x:v>Activity data</x:v>
      </x:c>
      <x:c r="I13" s="322" t="str"/>
      <x:c r="J13" s="322" t="str">
        <x:v>Emission factor</x:v>
      </x:c>
      <x:c r="K13" s="322" t="str"/>
      <x:c r="L13" s="322" t="str">
        <x:v>Calculated carbon</x:v>
      </x:c>
      <x:c r="M13" s="322" t="str"/>
      <x:c r="N13" s="322" t="str"/>
      <x:c r="O13" s="322" t="str"/>
      <x:c r="P13" s="322" t="str"/>
    </x:row>
    <x:row r="14">
      <x:c r="A14" s="323" t="str">
        <x:v>Developer mapping: BL_CarbonLegs table begins at row 17; columns L, N, O are formulas and should not be overwritten.</x:v>
      </x:c>
      <x:c r="B14" s="324" t="str"/>
      <x:c r="C14" s="324" t="str"/>
      <x:c r="D14" s="324" t="str"/>
      <x:c r="E14" s="324" t="str"/>
      <x:c r="F14" s="324" t="str"/>
      <x:c r="G14" s="324" t="str"/>
      <x:c r="H14" s="324" t="str"/>
      <x:c r="I14" s="324" t="str"/>
      <x:c r="J14" s="324" t="str"/>
      <x:c r="K14" s="324" t="str"/>
      <x:c r="L14" s="324" t="str"/>
      <x:c r="M14" s="324" t="str"/>
      <x:c r="N14" s="324" t="str"/>
      <x:c r="O14" s="324" t="str"/>
      <x:c r="P14" s="325" t="str"/>
    </x:row>
    <x:row r="15">
      <x:c r="A15" s="266"/>
      <x:c r="B15" s="266"/>
      <x:c r="C15" s="266"/>
      <x:c r="D15" s="266"/>
      <x:c r="E15" s="266"/>
      <x:c r="F15" s="266"/>
      <x:c r="G15" s="266"/>
      <x:c r="H15" s="266"/>
      <x:c r="I15" s="266"/>
      <x:c r="J15" s="266"/>
      <x:c r="K15" s="266"/>
      <x:c r="L15" s="266"/>
      <x:c r="M15" s="266"/>
      <x:c r="N15" s="266"/>
      <x:c r="O15" s="266"/>
      <x:c r="P15" s="266"/>
    </x:row>
    <x:row r="16">
      <x:c r="A16" s="266"/>
      <x:c r="B16" s="266"/>
      <x:c r="C16" s="266"/>
      <x:c r="D16" s="266"/>
      <x:c r="E16" s="266"/>
      <x:c r="F16" s="266"/>
      <x:c r="G16" s="266"/>
      <x:c r="H16" s="266"/>
      <x:c r="I16" s="266"/>
      <x:c r="J16" s="266"/>
      <x:c r="K16" s="266"/>
      <x:c r="L16" s="266"/>
      <x:c r="M16" s="266"/>
      <x:c r="N16" s="266"/>
      <x:c r="O16" s="266"/>
      <x:c r="P16" s="266"/>
    </x:row>
    <x:row r="17" ht="38" customHeight="1">
      <x:c r="A17" s="347" t="str">
        <x:v>Line No</x:v>
      </x:c>
      <x:c r="B17" s="347" t="str">
        <x:v>B/L No
INPUT</x:v>
      </x:c>
      <x:c r="C17" s="347" t="str">
        <x:v>Container No
INPUT</x:v>
      </x:c>
      <x:c r="D17" s="347" t="str">
        <x:v>Route Leg
INPUT</x:v>
      </x:c>
      <x:c r="E17" s="347" t="str">
        <x:v>Origin
INPUT</x:v>
      </x:c>
      <x:c r="F17" s="347" t="str">
        <x:v>Destination
INPUT</x:v>
      </x:c>
      <x:c r="G17" s="347" t="str">
        <x:v>Transport Mode
INPUT</x:v>
      </x:c>
      <x:c r="H17" s="347" t="str">
        <x:v>Cargo Weight t
INPUT</x:v>
      </x:c>
      <x:c r="I17" s="347" t="str">
        <x:v>Distance km
INPUT</x:v>
      </x:c>
      <x:c r="J17" s="347" t="str">
        <x:v>DEFRA Factor Key
INPUT</x:v>
      </x:c>
      <x:c r="K17" s="347" t="str">
        <x:v>kg CO2e/tkm
INPUT</x:v>
      </x:c>
      <x:c r="L17" s="347" t="str">
        <x:v>Logistics CO2e kg
FORMULA / DO NOT OVERWRITE</x:v>
      </x:c>
      <x:c r="M17" s="347" t="str">
        <x:v>Embedded Product Carbon kgCO2e
INPUT</x:v>
      </x:c>
      <x:c r="N17" s="347" t="str">
        <x:v>Total Shipment Carbon kgCO2e
FORMULA / DO NOT OVERWRITE</x:v>
      </x:c>
      <x:c r="O17" s="347" t="str">
        <x:v>Total Shipment Carbon tCO2e
FORMULA / DO NOT OVERWRITE</x:v>
      </x:c>
      <x:c r="P17" s="347" t="str">
        <x:v>Notes
INPUT</x:v>
      </x:c>
    </x:row>
    <x:row r="18" ht="23" customHeight="1">
      <x:c r="A18" s="358" t="n">
        <x:v>1</x:v>
      </x:c>
      <x:c r="B18" s="368" t="str">
        <x:v>BL-WC-DEMO-001</x:v>
      </x:c>
      <x:c r="C18" s="368" t="str">
        <x:v>CONT-WC-001</x:v>
      </x:c>
      <x:c r="D18" s="368" t="str">
        <x:v>Factory to Port of Loading</x:v>
      </x:c>
      <x:c r="E18" s="368" t="str">
        <x:v>Binh Duong Factory</x:v>
      </x:c>
      <x:c r="F18" s="368" t="str">
        <x:v>Cat Lai Port</x:v>
      </x:c>
      <x:c r="G18" s="368" t="str">
        <x:v>Truck</x:v>
      </x:c>
      <x:c r="H18" s="371" t="n">
        <x:v>0.24</x:v>
      </x:c>
      <x:c r="I18" s="371" t="n">
        <x:v>35</x:v>
      </x:c>
      <x:c r="J18" s="368" t="str">
        <x:v>DEFRA_FREIGHT_ROAD_2024</x:v>
      </x:c>
      <x:c r="K18" s="371" t="n">
        <x:v>98</x:v>
      </x:c>
      <x:c r="L18" s="375" t="n">
        <x:f>IFERROR(IF(OR(H18="",I18="",K18=""),"",H18*I18*K18),"")</x:f>
        <x:v>823.2</x:v>
      </x:c>
      <x:c r="M18" s="371" t="n">
        <x:v>2820</x:v>
      </x:c>
      <x:c r="N18" s="375" t="n">
        <x:f>IFERROR(IF(AND(L18="",M18=""),"",SUM(L18,M18)),"")</x:f>
        <x:v>3643.2</x:v>
      </x:c>
      <x:c r="O18" s="375" t="n">
        <x:f>IFERROR(IF(N18="","",N18/1000),"")</x:f>
        <x:v>3.6431999999999998</x:v>
      </x:c>
      <x:c r="P18" s="368" t="str">
        <x:v>Sample route leg: factory to port</x:v>
      </x:c>
    </x:row>
    <x:row r="19" ht="23" customHeight="1">
      <x:c r="A19" s="358" t="n">
        <x:v>2</x:v>
      </x:c>
      <x:c r="B19" s="368" t="str"/>
      <x:c r="C19" s="368" t="str"/>
      <x:c r="D19" s="368" t="str"/>
      <x:c r="E19" s="368" t="str"/>
      <x:c r="F19" s="368" t="str"/>
      <x:c r="G19" s="368" t="str"/>
      <x:c r="H19" s="371" t="str"/>
      <x:c r="I19" s="371" t="str"/>
      <x:c r="J19" s="368" t="str"/>
      <x:c r="K19" s="371" t="str"/>
      <x:c r="L19" s="375" t="str">
        <x:f>IFERROR(IF(OR(H19="",I19="",K19=""),"",H19*I19*K19),"")</x:f>
      </x:c>
      <x:c r="M19" s="371" t="str"/>
      <x:c r="N19" s="375" t="str">
        <x:f>IFERROR(IF(AND(L19="",M19=""),"",SUM(L19,M19)),"")</x:f>
      </x:c>
      <x:c r="O19" s="375" t="str">
        <x:f>IFERROR(IF(N19="","",N19/1000),"")</x:f>
      </x:c>
      <x:c r="P19" s="368" t="str"/>
    </x:row>
    <x:row r="20" ht="23" customHeight="1">
      <x:c r="A20" s="358" t="n">
        <x:v>3</x:v>
      </x:c>
      <x:c r="B20" s="368" t="str"/>
      <x:c r="C20" s="368" t="str"/>
      <x:c r="D20" s="368" t="str"/>
      <x:c r="E20" s="368" t="str"/>
      <x:c r="F20" s="368" t="str"/>
      <x:c r="G20" s="368" t="str"/>
      <x:c r="H20" s="371" t="str"/>
      <x:c r="I20" s="371" t="str"/>
      <x:c r="J20" s="368" t="str"/>
      <x:c r="K20" s="371" t="str"/>
      <x:c r="L20" s="375" t="str">
        <x:f>IFERROR(IF(OR(H20="",I20="",K20=""),"",H20*I20*K20),"")</x:f>
      </x:c>
      <x:c r="M20" s="371" t="str"/>
      <x:c r="N20" s="375" t="str">
        <x:f>IFERROR(IF(AND(L20="",M20=""),"",SUM(L20,M20)),"")</x:f>
      </x:c>
      <x:c r="O20" s="375" t="str">
        <x:f>IFERROR(IF(N20="","",N20/1000),"")</x:f>
      </x:c>
      <x:c r="P20" s="368" t="str"/>
    </x:row>
    <x:row r="21" ht="23" customHeight="1">
      <x:c r="A21" s="358" t="n">
        <x:v>4</x:v>
      </x:c>
      <x:c r="B21" s="368" t="str"/>
      <x:c r="C21" s="368" t="str"/>
      <x:c r="D21" s="368" t="str"/>
      <x:c r="E21" s="368" t="str"/>
      <x:c r="F21" s="368" t="str"/>
      <x:c r="G21" s="368" t="str"/>
      <x:c r="H21" s="371" t="str"/>
      <x:c r="I21" s="371" t="str"/>
      <x:c r="J21" s="368" t="str"/>
      <x:c r="K21" s="371" t="str"/>
      <x:c r="L21" s="375" t="str">
        <x:f>IFERROR(IF(OR(H21="",I21="",K21=""),"",H21*I21*K21),"")</x:f>
      </x:c>
      <x:c r="M21" s="371" t="str"/>
      <x:c r="N21" s="375" t="str">
        <x:f>IFERROR(IF(AND(L21="",M21=""),"",SUM(L21,M21)),"")</x:f>
      </x:c>
      <x:c r="O21" s="375" t="str">
        <x:f>IFERROR(IF(N21="","",N21/1000),"")</x:f>
      </x:c>
      <x:c r="P21" s="368" t="str"/>
    </x:row>
    <x:row r="22" ht="23" customHeight="1">
      <x:c r="A22" s="358" t="n">
        <x:v>5</x:v>
      </x:c>
      <x:c r="B22" s="368" t="str"/>
      <x:c r="C22" s="368" t="str"/>
      <x:c r="D22" s="368" t="str"/>
      <x:c r="E22" s="368" t="str"/>
      <x:c r="F22" s="368" t="str"/>
      <x:c r="G22" s="368" t="str"/>
      <x:c r="H22" s="371" t="str"/>
      <x:c r="I22" s="371" t="str"/>
      <x:c r="J22" s="368" t="str"/>
      <x:c r="K22" s="371" t="str"/>
      <x:c r="L22" s="375" t="str">
        <x:f>IFERROR(IF(OR(H22="",I22="",K22=""),"",H22*I22*K22),"")</x:f>
      </x:c>
      <x:c r="M22" s="371" t="str"/>
      <x:c r="N22" s="375" t="str">
        <x:f>IFERROR(IF(AND(L22="",M22=""),"",SUM(L22,M22)),"")</x:f>
      </x:c>
      <x:c r="O22" s="375" t="str">
        <x:f>IFERROR(IF(N22="","",N22/1000),"")</x:f>
      </x:c>
      <x:c r="P22" s="368" t="str"/>
    </x:row>
    <x:row r="23" ht="23" customHeight="1">
      <x:c r="A23" s="358" t="n">
        <x:v>6</x:v>
      </x:c>
      <x:c r="B23" s="368" t="str"/>
      <x:c r="C23" s="368" t="str"/>
      <x:c r="D23" s="368" t="str"/>
      <x:c r="E23" s="368" t="str"/>
      <x:c r="F23" s="368" t="str"/>
      <x:c r="G23" s="368" t="str"/>
      <x:c r="H23" s="371" t="str"/>
      <x:c r="I23" s="371" t="str"/>
      <x:c r="J23" s="368" t="str"/>
      <x:c r="K23" s="371" t="str"/>
      <x:c r="L23" s="375" t="str">
        <x:f>IFERROR(IF(OR(H23="",I23="",K23=""),"",H23*I23*K23),"")</x:f>
      </x:c>
      <x:c r="M23" s="371" t="str"/>
      <x:c r="N23" s="375" t="str">
        <x:f>IFERROR(IF(AND(L23="",M23=""),"",SUM(L23,M23)),"")</x:f>
      </x:c>
      <x:c r="O23" s="375" t="str">
        <x:f>IFERROR(IF(N23="","",N23/1000),"")</x:f>
      </x:c>
      <x:c r="P23" s="368" t="str"/>
    </x:row>
    <x:row r="24" ht="23" customHeight="1">
      <x:c r="A24" s="358" t="n">
        <x:v>7</x:v>
      </x:c>
      <x:c r="B24" s="368" t="str"/>
      <x:c r="C24" s="368" t="str"/>
      <x:c r="D24" s="368" t="str"/>
      <x:c r="E24" s="368" t="str"/>
      <x:c r="F24" s="368" t="str"/>
      <x:c r="G24" s="368" t="str"/>
      <x:c r="H24" s="371" t="str"/>
      <x:c r="I24" s="371" t="str"/>
      <x:c r="J24" s="368" t="str"/>
      <x:c r="K24" s="371" t="str"/>
      <x:c r="L24" s="375" t="str">
        <x:f>IFERROR(IF(OR(H24="",I24="",K24=""),"",H24*I24*K24),"")</x:f>
      </x:c>
      <x:c r="M24" s="371" t="str"/>
      <x:c r="N24" s="375" t="str">
        <x:f>IFERROR(IF(AND(L24="",M24=""),"",SUM(L24,M24)),"")</x:f>
      </x:c>
      <x:c r="O24" s="375" t="str">
        <x:f>IFERROR(IF(N24="","",N24/1000),"")</x:f>
      </x:c>
      <x:c r="P24" s="368" t="str"/>
    </x:row>
    <x:row r="25" ht="23" customHeight="1">
      <x:c r="A25" s="358" t="n">
        <x:v>8</x:v>
      </x:c>
      <x:c r="B25" s="368" t="str"/>
      <x:c r="C25" s="368" t="str"/>
      <x:c r="D25" s="368" t="str"/>
      <x:c r="E25" s="368" t="str"/>
      <x:c r="F25" s="368" t="str"/>
      <x:c r="G25" s="368" t="str"/>
      <x:c r="H25" s="371" t="str"/>
      <x:c r="I25" s="371" t="str"/>
      <x:c r="J25" s="368" t="str"/>
      <x:c r="K25" s="371" t="str"/>
      <x:c r="L25" s="375" t="str">
        <x:f>IFERROR(IF(OR(H25="",I25="",K25=""),"",H25*I25*K25),"")</x:f>
      </x:c>
      <x:c r="M25" s="371" t="str"/>
      <x:c r="N25" s="375" t="str">
        <x:f>IFERROR(IF(AND(L25="",M25=""),"",SUM(L25,M25)),"")</x:f>
      </x:c>
      <x:c r="O25" s="375" t="str">
        <x:f>IFERROR(IF(N25="","",N25/1000),"")</x:f>
      </x:c>
      <x:c r="P25" s="368" t="str"/>
    </x:row>
    <x:row r="26" ht="23" customHeight="1">
      <x:c r="A26" s="358" t="n">
        <x:v>9</x:v>
      </x:c>
      <x:c r="B26" s="368" t="str"/>
      <x:c r="C26" s="368" t="str"/>
      <x:c r="D26" s="368" t="str"/>
      <x:c r="E26" s="368" t="str"/>
      <x:c r="F26" s="368" t="str"/>
      <x:c r="G26" s="368" t="str"/>
      <x:c r="H26" s="371" t="str"/>
      <x:c r="I26" s="371" t="str"/>
      <x:c r="J26" s="368" t="str"/>
      <x:c r="K26" s="371" t="str"/>
      <x:c r="L26" s="375" t="str">
        <x:f>IFERROR(IF(OR(H26="",I26="",K26=""),"",H26*I26*K26),"")</x:f>
      </x:c>
      <x:c r="M26" s="371" t="str"/>
      <x:c r="N26" s="375" t="str">
        <x:f>IFERROR(IF(AND(L26="",M26=""),"",SUM(L26,M26)),"")</x:f>
      </x:c>
      <x:c r="O26" s="375" t="str">
        <x:f>IFERROR(IF(N26="","",N26/1000),"")</x:f>
      </x:c>
      <x:c r="P26" s="368" t="str"/>
    </x:row>
    <x:row r="27" ht="23" customHeight="1">
      <x:c r="A27" s="358" t="n">
        <x:v>10</x:v>
      </x:c>
      <x:c r="B27" s="368" t="str"/>
      <x:c r="C27" s="368" t="str"/>
      <x:c r="D27" s="368" t="str"/>
      <x:c r="E27" s="368" t="str"/>
      <x:c r="F27" s="368" t="str"/>
      <x:c r="G27" s="368" t="str"/>
      <x:c r="H27" s="371" t="str"/>
      <x:c r="I27" s="371" t="str"/>
      <x:c r="J27" s="368" t="str"/>
      <x:c r="K27" s="371" t="str"/>
      <x:c r="L27" s="375" t="str">
        <x:f>IFERROR(IF(OR(H27="",I27="",K27=""),"",H27*I27*K27),"")</x:f>
      </x:c>
      <x:c r="M27" s="371" t="str"/>
      <x:c r="N27" s="375" t="str">
        <x:f>IFERROR(IF(AND(L27="",M27=""),"",SUM(L27,M27)),"")</x:f>
      </x:c>
      <x:c r="O27" s="375" t="str">
        <x:f>IFERROR(IF(N27="","",N27/1000),"")</x:f>
      </x:c>
      <x:c r="P27" s="368" t="str"/>
    </x:row>
    <x:row r="28" ht="23" customHeight="1">
      <x:c r="A28" s="358" t="n">
        <x:v>11</x:v>
      </x:c>
      <x:c r="B28" s="368" t="str"/>
      <x:c r="C28" s="368" t="str"/>
      <x:c r="D28" s="368" t="str"/>
      <x:c r="E28" s="368" t="str"/>
      <x:c r="F28" s="368" t="str"/>
      <x:c r="G28" s="368" t="str"/>
      <x:c r="H28" s="371" t="str"/>
      <x:c r="I28" s="371" t="str"/>
      <x:c r="J28" s="368" t="str"/>
      <x:c r="K28" s="371" t="str"/>
      <x:c r="L28" s="375" t="str">
        <x:f>IFERROR(IF(OR(H28="",I28="",K28=""),"",H28*I28*K28),"")</x:f>
      </x:c>
      <x:c r="M28" s="371" t="str"/>
      <x:c r="N28" s="375" t="str">
        <x:f>IFERROR(IF(AND(L28="",M28=""),"",SUM(L28,M28)),"")</x:f>
      </x:c>
      <x:c r="O28" s="375" t="str">
        <x:f>IFERROR(IF(N28="","",N28/1000),"")</x:f>
      </x:c>
      <x:c r="P28" s="368" t="str"/>
    </x:row>
    <x:row r="29" ht="23" customHeight="1">
      <x:c r="A29" s="358" t="n">
        <x:v>12</x:v>
      </x:c>
      <x:c r="B29" s="368" t="str"/>
      <x:c r="C29" s="368" t="str"/>
      <x:c r="D29" s="368" t="str"/>
      <x:c r="E29" s="368" t="str"/>
      <x:c r="F29" s="368" t="str"/>
      <x:c r="G29" s="368" t="str"/>
      <x:c r="H29" s="371" t="str"/>
      <x:c r="I29" s="371" t="str"/>
      <x:c r="J29" s="368" t="str"/>
      <x:c r="K29" s="371" t="str"/>
      <x:c r="L29" s="375" t="str">
        <x:f>IFERROR(IF(OR(H29="",I29="",K29=""),"",H29*I29*K29),"")</x:f>
      </x:c>
      <x:c r="M29" s="371" t="str"/>
      <x:c r="N29" s="375" t="str">
        <x:f>IFERROR(IF(AND(L29="",M29=""),"",SUM(L29,M29)),"")</x:f>
      </x:c>
      <x:c r="O29" s="375" t="str">
        <x:f>IFERROR(IF(N29="","",N29/1000),"")</x:f>
      </x:c>
      <x:c r="P29" s="368" t="str"/>
    </x:row>
    <x:row r="30" ht="23" customHeight="1">
      <x:c r="A30" s="358" t="n">
        <x:v>13</x:v>
      </x:c>
      <x:c r="B30" s="368" t="str"/>
      <x:c r="C30" s="368" t="str"/>
      <x:c r="D30" s="368" t="str"/>
      <x:c r="E30" s="368" t="str"/>
      <x:c r="F30" s="368" t="str"/>
      <x:c r="G30" s="368" t="str"/>
      <x:c r="H30" s="371" t="str"/>
      <x:c r="I30" s="371" t="str"/>
      <x:c r="J30" s="368" t="str"/>
      <x:c r="K30" s="371" t="str"/>
      <x:c r="L30" s="375" t="str">
        <x:f>IFERROR(IF(OR(H30="",I30="",K30=""),"",H30*I30*K30),"")</x:f>
      </x:c>
      <x:c r="M30" s="371" t="str"/>
      <x:c r="N30" s="375" t="str">
        <x:f>IFERROR(IF(AND(L30="",M30=""),"",SUM(L30,M30)),"")</x:f>
      </x:c>
      <x:c r="O30" s="375" t="str">
        <x:f>IFERROR(IF(N30="","",N30/1000),"")</x:f>
      </x:c>
      <x:c r="P30" s="368" t="str"/>
    </x:row>
    <x:row r="31" ht="23" customHeight="1">
      <x:c r="A31" s="358" t="n">
        <x:v>14</x:v>
      </x:c>
      <x:c r="B31" s="368" t="str"/>
      <x:c r="C31" s="368" t="str"/>
      <x:c r="D31" s="368" t="str"/>
      <x:c r="E31" s="368" t="str"/>
      <x:c r="F31" s="368" t="str"/>
      <x:c r="G31" s="368" t="str"/>
      <x:c r="H31" s="371" t="str"/>
      <x:c r="I31" s="371" t="str"/>
      <x:c r="J31" s="368" t="str"/>
      <x:c r="K31" s="371" t="str"/>
      <x:c r="L31" s="375" t="str">
        <x:f>IFERROR(IF(OR(H31="",I31="",K31=""),"",H31*I31*K31),"")</x:f>
      </x:c>
      <x:c r="M31" s="371" t="str"/>
      <x:c r="N31" s="375" t="str">
        <x:f>IFERROR(IF(AND(L31="",M31=""),"",SUM(L31,M31)),"")</x:f>
      </x:c>
      <x:c r="O31" s="375" t="str">
        <x:f>IFERROR(IF(N31="","",N31/1000),"")</x:f>
      </x:c>
      <x:c r="P31" s="368" t="str"/>
    </x:row>
    <x:row r="32" ht="23" customHeight="1">
      <x:c r="A32" s="358" t="n">
        <x:v>15</x:v>
      </x:c>
      <x:c r="B32" s="368" t="str"/>
      <x:c r="C32" s="368" t="str"/>
      <x:c r="D32" s="368" t="str"/>
      <x:c r="E32" s="368" t="str"/>
      <x:c r="F32" s="368" t="str"/>
      <x:c r="G32" s="368" t="str"/>
      <x:c r="H32" s="371" t="str"/>
      <x:c r="I32" s="371" t="str"/>
      <x:c r="J32" s="368" t="str"/>
      <x:c r="K32" s="371" t="str"/>
      <x:c r="L32" s="375" t="str">
        <x:f>IFERROR(IF(OR(H32="",I32="",K32=""),"",H32*I32*K32),"")</x:f>
      </x:c>
      <x:c r="M32" s="371" t="str"/>
      <x:c r="N32" s="375" t="str">
        <x:f>IFERROR(IF(AND(L32="",M32=""),"",SUM(L32,M32)),"")</x:f>
      </x:c>
      <x:c r="O32" s="375" t="str">
        <x:f>IFERROR(IF(N32="","",N32/1000),"")</x:f>
      </x:c>
      <x:c r="P32" s="368" t="str"/>
    </x:row>
    <x:row r="33" ht="23" customHeight="1">
      <x:c r="A33" s="358" t="n">
        <x:v>16</x:v>
      </x:c>
      <x:c r="B33" s="368" t="str"/>
      <x:c r="C33" s="368" t="str"/>
      <x:c r="D33" s="368" t="str"/>
      <x:c r="E33" s="368" t="str"/>
      <x:c r="F33" s="368" t="str"/>
      <x:c r="G33" s="368" t="str"/>
      <x:c r="H33" s="371" t="str"/>
      <x:c r="I33" s="371" t="str"/>
      <x:c r="J33" s="368" t="str"/>
      <x:c r="K33" s="371" t="str"/>
      <x:c r="L33" s="375" t="str">
        <x:f>IFERROR(IF(OR(H33="",I33="",K33=""),"",H33*I33*K33),"")</x:f>
      </x:c>
      <x:c r="M33" s="371" t="str"/>
      <x:c r="N33" s="375" t="str">
        <x:f>IFERROR(IF(AND(L33="",M33=""),"",SUM(L33,M33)),"")</x:f>
      </x:c>
      <x:c r="O33" s="375" t="str">
        <x:f>IFERROR(IF(N33="","",N33/1000),"")</x:f>
      </x:c>
      <x:c r="P33" s="368" t="str"/>
    </x:row>
    <x:row r="34" ht="23" customHeight="1">
      <x:c r="A34" s="358" t="n">
        <x:v>17</x:v>
      </x:c>
      <x:c r="B34" s="368" t="str"/>
      <x:c r="C34" s="368" t="str"/>
      <x:c r="D34" s="368" t="str"/>
      <x:c r="E34" s="368" t="str"/>
      <x:c r="F34" s="368" t="str"/>
      <x:c r="G34" s="368" t="str"/>
      <x:c r="H34" s="371" t="str"/>
      <x:c r="I34" s="371" t="str"/>
      <x:c r="J34" s="368" t="str"/>
      <x:c r="K34" s="371" t="str"/>
      <x:c r="L34" s="375" t="str">
        <x:f>IFERROR(IF(OR(H34="",I34="",K34=""),"",H34*I34*K34),"")</x:f>
      </x:c>
      <x:c r="M34" s="371" t="str"/>
      <x:c r="N34" s="375" t="str">
        <x:f>IFERROR(IF(AND(L34="",M34=""),"",SUM(L34,M34)),"")</x:f>
      </x:c>
      <x:c r="O34" s="375" t="str">
        <x:f>IFERROR(IF(N34="","",N34/1000),"")</x:f>
      </x:c>
      <x:c r="P34" s="368" t="str"/>
    </x:row>
    <x:row r="35" ht="23" customHeight="1">
      <x:c r="A35" s="358" t="n">
        <x:v>18</x:v>
      </x:c>
      <x:c r="B35" s="368" t="str"/>
      <x:c r="C35" s="368" t="str"/>
      <x:c r="D35" s="368" t="str"/>
      <x:c r="E35" s="368" t="str"/>
      <x:c r="F35" s="368" t="str"/>
      <x:c r="G35" s="368" t="str"/>
      <x:c r="H35" s="371" t="str"/>
      <x:c r="I35" s="371" t="str"/>
      <x:c r="J35" s="368" t="str"/>
      <x:c r="K35" s="371" t="str"/>
      <x:c r="L35" s="375" t="str">
        <x:f>IFERROR(IF(OR(H35="",I35="",K35=""),"",H35*I35*K35),"")</x:f>
      </x:c>
      <x:c r="M35" s="371" t="str"/>
      <x:c r="N35" s="375" t="str">
        <x:f>IFERROR(IF(AND(L35="",M35=""),"",SUM(L35,M35)),"")</x:f>
      </x:c>
      <x:c r="O35" s="375" t="str">
        <x:f>IFERROR(IF(N35="","",N35/1000),"")</x:f>
      </x:c>
      <x:c r="P35" s="368" t="str"/>
    </x:row>
    <x:row r="36" ht="23" customHeight="1">
      <x:c r="A36" s="358" t="n">
        <x:v>19</x:v>
      </x:c>
      <x:c r="B36" s="368" t="str"/>
      <x:c r="C36" s="368" t="str"/>
      <x:c r="D36" s="368" t="str"/>
      <x:c r="E36" s="368" t="str"/>
      <x:c r="F36" s="368" t="str"/>
      <x:c r="G36" s="368" t="str"/>
      <x:c r="H36" s="371" t="str"/>
      <x:c r="I36" s="371" t="str"/>
      <x:c r="J36" s="368" t="str"/>
      <x:c r="K36" s="371" t="str"/>
      <x:c r="L36" s="375" t="str">
        <x:f>IFERROR(IF(OR(H36="",I36="",K36=""),"",H36*I36*K36),"")</x:f>
      </x:c>
      <x:c r="M36" s="371" t="str"/>
      <x:c r="N36" s="375" t="str">
        <x:f>IFERROR(IF(AND(L36="",M36=""),"",SUM(L36,M36)),"")</x:f>
      </x:c>
      <x:c r="O36" s="375" t="str">
        <x:f>IFERROR(IF(N36="","",N36/1000),"")</x:f>
      </x:c>
      <x:c r="P36" s="368" t="str"/>
    </x:row>
    <x:row r="37" ht="23" customHeight="1">
      <x:c r="A37" s="358" t="n">
        <x:v>20</x:v>
      </x:c>
      <x:c r="B37" s="368" t="str"/>
      <x:c r="C37" s="368" t="str"/>
      <x:c r="D37" s="368" t="str"/>
      <x:c r="E37" s="368" t="str"/>
      <x:c r="F37" s="368" t="str"/>
      <x:c r="G37" s="368" t="str"/>
      <x:c r="H37" s="371" t="str"/>
      <x:c r="I37" s="371" t="str"/>
      <x:c r="J37" s="368" t="str"/>
      <x:c r="K37" s="371" t="str"/>
      <x:c r="L37" s="375" t="str">
        <x:f>IFERROR(IF(OR(H37="",I37="",K37=""),"",H37*I37*K37),"")</x:f>
      </x:c>
      <x:c r="M37" s="371" t="str"/>
      <x:c r="N37" s="375" t="str">
        <x:f>IFERROR(IF(AND(L37="",M37=""),"",SUM(L37,M37)),"")</x:f>
      </x:c>
      <x:c r="O37" s="375" t="str">
        <x:f>IFERROR(IF(N37="","",N37/1000),"")</x:f>
      </x:c>
      <x:c r="P37" s="368" t="str"/>
    </x:row>
    <x:row r="38" ht="26" customHeight="1">
      <x:c r="A38" s="380" t="str"/>
      <x:c r="B38" s="380" t="str"/>
      <x:c r="C38" s="380" t="str">
        <x:v>GRAND TOTAL</x:v>
      </x:c>
      <x:c r="D38" s="380" t="str"/>
      <x:c r="E38" s="380" t="str"/>
      <x:c r="F38" s="380" t="str"/>
      <x:c r="G38" s="380" t="str"/>
      <x:c r="H38" s="383" t="n">
        <x:f>IFERROR(SUM(H18:H37),0)</x:f>
        <x:v>0.24</x:v>
      </x:c>
      <x:c r="I38" s="383" t="str"/>
      <x:c r="J38" s="380" t="str"/>
      <x:c r="K38" s="383" t="str"/>
      <x:c r="L38" s="383" t="n">
        <x:f>IFERROR(SUM(L18:L37),0)</x:f>
        <x:v>823.2</x:v>
      </x:c>
      <x:c r="M38" s="383" t="n">
        <x:f>IFERROR(SUM(M18:M37),0)</x:f>
        <x:v>2820</x:v>
      </x:c>
      <x:c r="N38" s="383" t="n">
        <x:f>IFERROR(SUM(N18:N37),0)</x:f>
        <x:v>3643.2</x:v>
      </x:c>
      <x:c r="O38" s="383" t="n">
        <x:f>IFERROR(SUM(O18:O37),0)</x:f>
        <x:v>3.6431999999999998</x:v>
      </x:c>
      <x:c r="P38" s="380" t="str"/>
    </x:row>
    <x:row r="39">
      <x:c r="A39" s="266"/>
      <x:c r="B39" s="266"/>
      <x:c r="C39" s="266"/>
      <x:c r="D39" s="266"/>
      <x:c r="E39" s="266"/>
      <x:c r="F39" s="266"/>
      <x:c r="G39" s="266"/>
      <x:c r="H39" s="266"/>
      <x:c r="I39" s="266"/>
      <x:c r="J39" s="266"/>
      <x:c r="K39" s="266"/>
      <x:c r="L39" s="266"/>
      <x:c r="M39" s="266"/>
      <x:c r="N39" s="266"/>
      <x:c r="O39" s="266"/>
      <x:c r="P39" s="266"/>
    </x:row>
    <x:row r="40" ht="22" customHeight="1">
      <x:c r="A40" s="432" t="str">
        <x:v>B/L CARBON TOTALS</x:v>
      </x:c>
      <x:c r="B40" s="433"/>
      <x:c r="C40" s="433"/>
      <x:c r="D40" s="433"/>
      <x:c r="E40" s="433"/>
      <x:c r="F40" s="433"/>
      <x:c r="G40" s="433"/>
      <x:c r="H40" s="433"/>
      <x:c r="I40" s="433"/>
      <x:c r="J40" s="433"/>
      <x:c r="K40" s="433"/>
      <x:c r="L40" s="433"/>
      <x:c r="M40" s="433"/>
      <x:c r="N40" s="433"/>
      <x:c r="O40" s="433"/>
      <x:c r="P40" s="401"/>
    </x:row>
    <x:row r="41" ht="22" customHeight="1">
      <x:c r="A41" s="491"/>
      <x:c r="B41" s="491"/>
      <x:c r="C41" s="491"/>
      <x:c r="D41" s="491"/>
      <x:c r="E41" s="491"/>
      <x:c r="F41" s="491"/>
      <x:c r="G41" s="491"/>
      <x:c r="H41" s="491"/>
      <x:c r="I41" s="491"/>
      <x:c r="J41" s="491"/>
      <x:c r="K41" s="491"/>
      <x:c r="L41" s="491"/>
      <x:c r="M41" s="491"/>
      <x:c r="N41" s="491"/>
      <x:c r="O41" s="491"/>
      <x:c r="P41" s="491"/>
    </x:row>
    <x:row r="42">
      <x:c r="A42" s="440" t="str">
        <x:v>Total Logistics CO2e kg</x:v>
      </x:c>
      <x:c r="B42" s="444" t="n">
        <x:f>IFERROR(L38,0)</x:f>
        <x:v>823.2</x:v>
      </x:c>
      <x:c r="C42" s="441" t="str">
        <x:v>Total Logistics CO2e tCO2e</x:v>
      </x:c>
      <x:c r="D42" s="444" t="n">
        <x:f>IFERROR(B42/1000,0)</x:f>
        <x:v>0.8232</x:v>
      </x:c>
      <x:c r="E42" s="441" t="str">
        <x:v>Total Embedded Product Carbon kgCO2e</x:v>
      </x:c>
      <x:c r="F42" s="444" t="n">
        <x:f>IFERROR(M38,0)</x:f>
        <x:v>2820</x:v>
      </x:c>
      <x:c r="G42" s="441" t="str">
        <x:v>Total Embedded Product Carbon tCO2e</x:v>
      </x:c>
      <x:c r="H42" s="444" t="n">
        <x:f>IFERROR(F42/1000,0)</x:f>
        <x:v>2.82</x:v>
      </x:c>
      <x:c r="I42" s="441" t="str">
        <x:v>Total Shipment Carbon kgCO2e</x:v>
      </x:c>
      <x:c r="J42" s="444" t="n">
        <x:f>IFERROR(N38,0)</x:f>
        <x:v>3643.2</x:v>
      </x:c>
      <x:c r="K42" s="441" t="str">
        <x:v>Total Shipment Carbon tCO2e</x:v>
      </x:c>
      <x:c r="L42" s="444" t="n">
        <x:f>IFERROR(O38,0)</x:f>
        <x:v>3.6431999999999998</x:v>
      </x:c>
      <x:c r="M42" s="496"/>
      <x:c r="N42" s="497"/>
      <x:c r="O42" s="496"/>
      <x:c r="P42" s="497"/>
    </x:row>
    <x:row r="43">
      <x:c r="A43" s="266" t="str"/>
      <x:c r="B43" s="266" t="str"/>
      <x:c r="C43" s="266" t="str"/>
      <x:c r="D43" s="266" t="str"/>
      <x:c r="E43" s="266" t="str"/>
      <x:c r="F43" s="266" t="str"/>
      <x:c r="G43" s="266" t="str"/>
      <x:c r="H43" s="266" t="str"/>
      <x:c r="I43" s="266" t="str"/>
      <x:c r="J43" s="266" t="str"/>
      <x:c r="K43" s="266" t="str"/>
      <x:c r="L43" s="266" t="str"/>
      <x:c r="M43" s="266" t="str"/>
      <x:c r="N43" s="266" t="str"/>
      <x:c r="O43" s="266" t="str"/>
      <x:c r="P43" s="266" t="str"/>
    </x:row>
    <x:row r="44" ht="23" customHeight="1">
      <x:c r="A44" s="283" t="str">
        <x:v>Annex declaration: logistics emissions are calculated by route leg using activity data multiplied by factor key values. Embedded product carbon is mapped from verified SKU/lot calculations and added to logistics carbon to produce total shipment carbon for this B/L.</x:v>
      </x:c>
      <x:c r="B44" s="283" t="str"/>
      <x:c r="C44" s="283" t="str"/>
      <x:c r="D44" s="283" t="str"/>
      <x:c r="E44" s="283" t="str"/>
      <x:c r="F44" s="283" t="str"/>
      <x:c r="G44" s="283" t="str"/>
      <x:c r="H44" s="283" t="str"/>
      <x:c r="I44" s="283" t="str"/>
      <x:c r="J44" s="283" t="str"/>
      <x:c r="K44" s="283" t="str"/>
      <x:c r="L44" s="283" t="str"/>
      <x:c r="M44" s="283" t="str"/>
      <x:c r="N44" s="283" t="str"/>
      <x:c r="O44" s="283" t="str"/>
      <x:c r="P44" s="283" t="str"/>
    </x:row>
    <x:row r="45" ht="23" customHeight="1">
      <x:c r="A45" s="283"/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  <x:c r="N45" s="283"/>
      <x:c r="O45" s="283"/>
      <x:c r="P45" s="283"/>
    </x:row>
    <x:row r="46" ht="23" customHeight="1">
      <x:c r="A46" s="283"/>
      <x:c r="B46" s="283"/>
      <x:c r="C46" s="283"/>
      <x:c r="D46" s="283"/>
      <x:c r="E46" s="283"/>
      <x:c r="F46" s="283"/>
      <x:c r="G46" s="283"/>
      <x:c r="H46" s="283"/>
      <x:c r="I46" s="283"/>
      <x:c r="J46" s="283"/>
      <x:c r="K46" s="283"/>
      <x:c r="L46" s="283"/>
      <x:c r="M46" s="283"/>
      <x:c r="N46" s="283"/>
      <x:c r="O46" s="283"/>
      <x:c r="P46" s="283"/>
    </x:row>
    <x:row r="47">
      <x:c r="A47" s="266"/>
      <x:c r="B47" s="266"/>
      <x:c r="C47" s="266"/>
      <x:c r="D47" s="266"/>
      <x:c r="E47" s="266"/>
      <x:c r="F47" s="266"/>
      <x:c r="G47" s="266"/>
      <x:c r="H47" s="266"/>
      <x:c r="I47" s="266"/>
      <x:c r="J47" s="266"/>
      <x:c r="K47" s="266"/>
      <x:c r="L47" s="266"/>
      <x:c r="M47" s="266"/>
      <x:c r="N47" s="266"/>
      <x:c r="O47" s="266"/>
      <x:c r="P47" s="266"/>
    </x:row>
    <x:row r="48">
      <x:c r="A48" s="266"/>
      <x:c r="B48" s="266"/>
      <x:c r="C48" s="266"/>
      <x:c r="D48" s="266"/>
      <x:c r="E48" s="266"/>
      <x:c r="F48" s="266"/>
      <x:c r="G48" s="266"/>
      <x:c r="H48" s="266"/>
      <x:c r="I48" s="266"/>
      <x:c r="J48" s="266"/>
      <x:c r="K48" s="266"/>
      <x:c r="L48" s="266"/>
      <x:c r="M48" s="266"/>
      <x:c r="N48" s="266"/>
      <x:c r="O48" s="266"/>
      <x:c r="P48" s="266"/>
    </x:row>
    <x:row r="49" ht="22" customHeight="1">
      <x:c r="A49" s="284" t="str">
        <x:v>Prepared by</x:v>
      </x:c>
      <x:c r="B49" s="284"/>
      <x:c r="C49" s="284"/>
      <x:c r="D49" s="284"/>
      <x:c r="E49" s="284"/>
      <x:c r="F49" s="284" t="str">
        <x:v>Carbon/ESG Officer</x:v>
      </x:c>
      <x:c r="G49" s="284"/>
      <x:c r="H49" s="284"/>
      <x:c r="I49" s="284"/>
      <x:c r="J49" s="284"/>
      <x:c r="K49" s="284" t="str">
        <x:v>Authorized Signatory</x:v>
      </x:c>
      <x:c r="L49" s="284"/>
      <x:c r="M49" s="284"/>
      <x:c r="N49" s="284"/>
      <x:c r="O49" s="284"/>
      <x:c r="P49" s="284"/>
    </x:row>
    <x:row r="50" ht="22" customHeight="1">
      <x:c r="A50" s="285" t="str"/>
      <x:c r="B50" s="285"/>
      <x:c r="C50" s="285"/>
      <x:c r="D50" s="285"/>
      <x:c r="E50" s="285"/>
      <x:c r="F50" s="285" t="str"/>
      <x:c r="G50" s="285"/>
      <x:c r="H50" s="285"/>
      <x:c r="I50" s="285"/>
      <x:c r="J50" s="285"/>
      <x:c r="K50" s="285" t="str"/>
      <x:c r="L50" s="285"/>
      <x:c r="M50" s="285"/>
      <x:c r="N50" s="285"/>
      <x:c r="O50" s="285"/>
      <x:c r="P50" s="285"/>
    </x:row>
    <x:row r="51" ht="22" customHeight="1">
      <x:c r="A51" s="285"/>
      <x:c r="B51" s="285"/>
      <x:c r="C51" s="285"/>
      <x:c r="D51" s="285"/>
      <x:c r="E51" s="285"/>
      <x:c r="F51" s="285"/>
      <x:c r="G51" s="285"/>
      <x:c r="H51" s="285"/>
      <x:c r="I51" s="285"/>
      <x:c r="J51" s="285"/>
      <x:c r="K51" s="285"/>
      <x:c r="L51" s="285"/>
      <x:c r="M51" s="285"/>
      <x:c r="N51" s="285"/>
      <x:c r="O51" s="285"/>
      <x:c r="P51" s="285"/>
    </x:row>
    <x:row r="52" ht="22" customHeight="1">
      <x:c r="A52" s="285"/>
      <x:c r="B52" s="285"/>
      <x:c r="C52" s="285"/>
      <x:c r="D52" s="285"/>
      <x:c r="E52" s="285"/>
      <x:c r="F52" s="285"/>
      <x:c r="G52" s="285"/>
      <x:c r="H52" s="285"/>
      <x:c r="I52" s="285"/>
      <x:c r="J52" s="285"/>
      <x:c r="K52" s="285"/>
      <x:c r="L52" s="285"/>
      <x:c r="M52" s="285"/>
      <x:c r="N52" s="285"/>
      <x:c r="O52" s="285"/>
      <x:c r="P52" s="285"/>
    </x:row>
    <x:row r="53" ht="22" customHeight="1">
      <x:c r="A53" s="285"/>
      <x:c r="B53" s="285"/>
      <x:c r="C53" s="285"/>
      <x:c r="D53" s="285"/>
      <x:c r="E53" s="285"/>
      <x:c r="F53" s="285"/>
      <x:c r="G53" s="285"/>
      <x:c r="H53" s="285"/>
      <x:c r="I53" s="285"/>
      <x:c r="J53" s="285"/>
      <x:c r="K53" s="285"/>
      <x:c r="L53" s="285"/>
      <x:c r="M53" s="285"/>
      <x:c r="N53" s="285"/>
      <x:c r="O53" s="285"/>
      <x:c r="P53" s="285"/>
    </x:row>
    <x:row r="54" ht="18" customHeight="1">
      <x:c r="A54" s="286" t="str">
        <x:v>Name / Date / Signature</x:v>
      </x:c>
      <x:c r="B54" s="286"/>
      <x:c r="C54" s="286"/>
      <x:c r="D54" s="286"/>
      <x:c r="E54" s="286"/>
      <x:c r="F54" s="286" t="str">
        <x:v>Name / Date / Signature</x:v>
      </x:c>
      <x:c r="G54" s="286"/>
      <x:c r="H54" s="286"/>
      <x:c r="I54" s="286"/>
      <x:c r="J54" s="286"/>
      <x:c r="K54" s="286" t="str">
        <x:v>Name / Date / Signature</x:v>
      </x:c>
      <x:c r="L54" s="286"/>
      <x:c r="M54" s="286"/>
      <x:c r="N54" s="286"/>
      <x:c r="O54" s="286"/>
      <x:c r="P54" s="286"/>
    </x:row>
    <x:row r="55">
      <x:c r="A55" s="266"/>
      <x:c r="B55" s="266"/>
      <x:c r="C55" s="266"/>
      <x:c r="D55" s="266"/>
      <x:c r="E55" s="266"/>
      <x:c r="F55" s="266"/>
      <x:c r="G55" s="266"/>
      <x:c r="H55" s="266"/>
      <x:c r="I55" s="266"/>
      <x:c r="J55" s="266"/>
      <x:c r="K55" s="266"/>
      <x:c r="L55" s="266"/>
      <x:c r="M55" s="266"/>
      <x:c r="N55" s="266"/>
      <x:c r="O55" s="266"/>
      <x:c r="P55" s="266"/>
    </x:row>
    <x:row r="56">
      <x:c r="A56" s="266"/>
      <x:c r="B56" s="266"/>
      <x:c r="C56" s="266"/>
      <x:c r="D56" s="266"/>
      <x:c r="E56" s="266"/>
      <x:c r="F56" s="266"/>
      <x:c r="G56" s="266"/>
      <x:c r="H56" s="266"/>
      <x:c r="I56" s="266"/>
      <x:c r="J56" s="266"/>
      <x:c r="K56" s="266"/>
      <x:c r="L56" s="266"/>
      <x:c r="M56" s="266"/>
      <x:c r="N56" s="266"/>
      <x:c r="O56" s="266"/>
      <x:c r="P56" s="266"/>
    </x:row>
    <x:row r="57">
      <x:c r="A57" s="266"/>
      <x:c r="B57" s="266"/>
      <x:c r="C57" s="266"/>
      <x:c r="D57" s="266"/>
      <x:c r="E57" s="266"/>
      <x:c r="F57" s="266"/>
      <x:c r="G57" s="266"/>
      <x:c r="H57" s="266"/>
      <x:c r="I57" s="266"/>
      <x:c r="J57" s="266"/>
      <x:c r="K57" s="266"/>
      <x:c r="L57" s="266"/>
      <x:c r="M57" s="266"/>
      <x:c r="N57" s="266"/>
      <x:c r="O57" s="266"/>
      <x:c r="P57" s="266"/>
    </x:row>
    <x:row r="58" ht="18" customHeight="1">
      <x:c r="A58" s="287" t="str">
        <x:v>Weave Carbon Template Engine | Bill of Lading - Carbon Annex | Fixed mapping: header A5:P9, table BL_CarbonLegs A17:P37, totals A38:P42 | Do not overwrite formula cells</x:v>
      </x:c>
      <x:c r="B58" s="288"/>
      <x:c r="C58" s="288"/>
      <x:c r="D58" s="288"/>
      <x:c r="E58" s="288"/>
      <x:c r="F58" s="288"/>
      <x:c r="G58" s="288"/>
      <x:c r="H58" s="288"/>
      <x:c r="I58" s="288"/>
      <x:c r="J58" s="288"/>
      <x:c r="K58" s="288"/>
      <x:c r="L58" s="288"/>
      <x:c r="M58" s="288"/>
      <x:c r="N58" s="288"/>
      <x:c r="O58" s="288"/>
      <x:c r="P58" s="289"/>
    </x:row>
  </x:sheetData>
  <x:mergeCells>
    <x:mergeCell ref="A1:P1"/>
    <x:mergeCell ref="A3:P3"/>
    <x:mergeCell ref="A4:H4"/>
    <x:mergeCell ref="J4:P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  <x:mergeCell ref="K5:L5"/>
    <x:mergeCell ref="N5:P5"/>
    <x:mergeCell ref="K6:L6"/>
    <x:mergeCell ref="N6:P6"/>
    <x:mergeCell ref="K7:P7"/>
    <x:mergeCell ref="K8:P8"/>
    <x:mergeCell ref="K9:L9"/>
    <x:mergeCell ref="N9:P9"/>
    <x:mergeCell ref="A12:P12"/>
    <x:mergeCell ref="A13:G13"/>
    <x:mergeCell ref="H13:I13"/>
    <x:mergeCell ref="J13:K13"/>
    <x:mergeCell ref="L13:P13"/>
    <x:mergeCell ref="A14:P14"/>
    <x:mergeCell ref="A41:P41"/>
    <x:mergeCell ref="A44:P46"/>
    <x:mergeCell ref="A49:E49"/>
    <x:mergeCell ref="A50:E53"/>
    <x:mergeCell ref="A54:E54"/>
    <x:mergeCell ref="F49:J49"/>
    <x:mergeCell ref="F50:J53"/>
    <x:mergeCell ref="F54:J54"/>
    <x:mergeCell ref="K49:P49"/>
    <x:mergeCell ref="K50:P53"/>
    <x:mergeCell ref="K54:P54"/>
    <x:mergeCell ref="A58:P58"/>
    <x:mergeCell ref="A40:P40"/>
  </x:mergeCells>
  <x:pageMargins left="0.7" right="0.7" top="0.75" bottom="0.75" header="0.3" footer="0.3"/>
  <x:tableParts count="2">
    <x:tablePart xmlns:r="http://schemas.openxmlformats.org/officeDocument/2006/relationships" r:id="R415cd318c6574d7a"/>
    <x:tablePart xmlns:r="http://schemas.openxmlformats.org/officeDocument/2006/relationships" r:id="R4b8e8734238a4d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4" hidden="0" customWidth="1"/>
  </x:cols>
  <x:sheetData>
    <x:row r="1" ht="30" customHeight="1">
      <x:c r="A1" s="461" t="str">
        <x:v>WEAVE CARBON | DEVELOPER MAPPING &amp; TEMPLATE CONTRACT</x:v>
      </x:c>
      <x:c r="B1" s="462"/>
      <x:c r="C1" s="462"/>
      <x:c r="D1" s="462"/>
      <x:c r="E1" s="462"/>
      <x:c r="F1" s="462"/>
      <x:c r="G1" s="462"/>
      <x:c r="H1" s="463"/>
    </x:row>
    <x:row r="2">
      <x:c r="A2" s="466" t="str">
        <x:v>Purpose</x:v>
      </x:c>
      <x:c r="B2" s="466" t="str">
        <x:v>Backend/frontend should fill only INPUT cells/ranges listed below. Formula columns are marked FORMULA / DO NOT OVERWRITE.</x:v>
      </x:c>
      <x:c r="C2" s="466"/>
      <x:c r="D2" s="466"/>
      <x:c r="E2" s="466"/>
      <x:c r="F2" s="466"/>
      <x:c r="G2" s="466"/>
      <x:c r="H2" s="466"/>
    </x:row>
    <x:row r="4" ht="38" customHeight="1">
      <x:c r="A4" s="471" t="str">
        <x:v>Backend Field</x:v>
      </x:c>
      <x:c r="B4" s="471" t="str">
        <x:v>Sheet</x:v>
      </x:c>
      <x:c r="C4" s="471" t="str">
        <x:v>Cell / Range</x:v>
      </x:c>
      <x:c r="D4" s="471" t="str">
        <x:v>Named Range / Table</x:v>
      </x:c>
      <x:c r="E4" s="471" t="str">
        <x:v>Type</x:v>
      </x:c>
      <x:c r="F4" s="471" t="str">
        <x:v>Write Mode</x:v>
      </x:c>
      <x:c r="G4" s="471" t="str">
        <x:v>Formula Guard</x:v>
      </x:c>
      <x:c r="H4" s="471" t="str">
        <x:v>Notes</x:v>
      </x:c>
    </x:row>
    <x:row r="5">
      <x:c r="A5" s="476" t="str">
        <x:v>EXPORTER_NAME</x:v>
      </x:c>
      <x:c r="B5" s="476" t="str">
        <x:v>Commercial Invoice</x:v>
      </x:c>
      <x:c r="C5" s="476" t="str">
        <x:v>B5</x:v>
      </x:c>
      <x:c r="D5" s="476" t="str">
        <x:v>CI_Metadata</x:v>
      </x:c>
      <x:c r="E5" s="476" t="str">
        <x:v>INPUT</x:v>
      </x:c>
      <x:c r="F5" s="476" t="str">
        <x:v>single cell</x:v>
      </x:c>
      <x:c r="G5" s="478" t="str">
        <x:v>No</x:v>
      </x:c>
      <x:c r="H5" s="475" t="str">
        <x:v>Exporter/Seller legal name</x:v>
      </x:c>
    </x:row>
    <x:row r="6">
      <x:c r="A6" s="476" t="str">
        <x:v>EXPORTER_TAX_ID</x:v>
      </x:c>
      <x:c r="B6" s="476" t="str">
        <x:v>Commercial Invoice</x:v>
      </x:c>
      <x:c r="C6" s="476" t="str">
        <x:v>E5</x:v>
      </x:c>
      <x:c r="D6" s="476" t="str">
        <x:v>CI_Metadata</x:v>
      </x:c>
      <x:c r="E6" s="476" t="str">
        <x:v>INPUT</x:v>
      </x:c>
      <x:c r="F6" s="476" t="str">
        <x:v>single cell</x:v>
      </x:c>
      <x:c r="G6" s="478" t="str">
        <x:v>No</x:v>
      </x:c>
      <x:c r="H6" s="475" t="str">
        <x:v>Tax/Business registration ID</x:v>
      </x:c>
    </x:row>
    <x:row r="7">
      <x:c r="A7" s="476" t="str">
        <x:v>EXPORTER_ADDRESS</x:v>
      </x:c>
      <x:c r="B7" s="476" t="str">
        <x:v>Commercial Invoice</x:v>
      </x:c>
      <x:c r="C7" s="476" t="str">
        <x:v>B6</x:v>
      </x:c>
      <x:c r="D7" s="476" t="str">
        <x:v>CI_Metadata</x:v>
      </x:c>
      <x:c r="E7" s="476" t="str">
        <x:v>INPUT</x:v>
      </x:c>
      <x:c r="F7" s="476" t="str">
        <x:v>single cell</x:v>
      </x:c>
      <x:c r="G7" s="478" t="str">
        <x:v>No</x:v>
      </x:c>
      <x:c r="H7" s="475" t="str">
        <x:v>Full exporter address</x:v>
      </x:c>
    </x:row>
    <x:row r="8">
      <x:c r="A8" s="476" t="str">
        <x:v>BUYER_BRAND_NAME</x:v>
      </x:c>
      <x:c r="B8" s="476" t="str">
        <x:v>Commercial Invoice</x:v>
      </x:c>
      <x:c r="C8" s="476" t="str">
        <x:v>I5</x:v>
      </x:c>
      <x:c r="D8" s="476" t="str">
        <x:v>CI_Metadata</x:v>
      </x:c>
      <x:c r="E8" s="476" t="str">
        <x:v>INPUT</x:v>
      </x:c>
      <x:c r="F8" s="476" t="str">
        <x:v>single cell</x:v>
      </x:c>
      <x:c r="G8" s="478" t="str">
        <x:v>No</x:v>
      </x:c>
      <x:c r="H8" s="475" t="str">
        <x:v>Buyer or brand name</x:v>
      </x:c>
    </x:row>
    <x:row r="9">
      <x:c r="A9" s="476" t="str">
        <x:v>BUYER_ADDRESS</x:v>
      </x:c>
      <x:c r="B9" s="476" t="str">
        <x:v>Commercial Invoice</x:v>
      </x:c>
      <x:c r="C9" s="476" t="str">
        <x:v>I6</x:v>
      </x:c>
      <x:c r="D9" s="476" t="str">
        <x:v>CI_Metadata</x:v>
      </x:c>
      <x:c r="E9" s="476" t="str">
        <x:v>INPUT</x:v>
      </x:c>
      <x:c r="F9" s="476" t="str">
        <x:v>single cell</x:v>
      </x:c>
      <x:c r="G9" s="478" t="str">
        <x:v>No</x:v>
      </x:c>
      <x:c r="H9" s="475" t="str">
        <x:v>Buyer address</x:v>
      </x:c>
    </x:row>
    <x:row r="10">
      <x:c r="A10" s="476" t="str">
        <x:v>PO_CONTRACT_ID</x:v>
      </x:c>
      <x:c r="B10" s="476" t="str">
        <x:v>Commercial Invoice</x:v>
      </x:c>
      <x:c r="C10" s="476" t="str">
        <x:v>E11</x:v>
      </x:c>
      <x:c r="D10" s="476" t="str">
        <x:v>CI_Metadata</x:v>
      </x:c>
      <x:c r="E10" s="476" t="str">
        <x:v>INPUT</x:v>
      </x:c>
      <x:c r="F10" s="476" t="str">
        <x:v>single cell</x:v>
      </x:c>
      <x:c r="G10" s="478" t="str">
        <x:v>No</x:v>
      </x:c>
      <x:c r="H10" s="475" t="str">
        <x:v>PO/Contract reference</x:v>
      </x:c>
    </x:row>
    <x:row r="11">
      <x:c r="A11" s="476" t="str">
        <x:v>CUSTOMS_DECL_NO</x:v>
      </x:c>
      <x:c r="B11" s="476" t="str">
        <x:v>Commercial Invoice</x:v>
      </x:c>
      <x:c r="C11" s="476" t="str">
        <x:v>I11</x:v>
      </x:c>
      <x:c r="D11" s="476" t="str">
        <x:v>CI_Metadata</x:v>
      </x:c>
      <x:c r="E11" s="476" t="str">
        <x:v>INPUT</x:v>
      </x:c>
      <x:c r="F11" s="476" t="str">
        <x:v>single cell</x:v>
      </x:c>
      <x:c r="G11" s="478" t="str">
        <x:v>No</x:v>
      </x:c>
      <x:c r="H11" s="475" t="str">
        <x:v>Customs declaration number</x:v>
      </x:c>
    </x:row>
    <x:row r="12">
      <x:c r="A12" s="476" t="str">
        <x:v>BL_NO</x:v>
      </x:c>
      <x:c r="B12" s="476" t="str">
        <x:v>Commercial Invoice</x:v>
      </x:c>
      <x:c r="C12" s="476" t="str">
        <x:v>L11</x:v>
      </x:c>
      <x:c r="D12" s="476" t="str">
        <x:v>CI_Metadata</x:v>
      </x:c>
      <x:c r="E12" s="476" t="str">
        <x:v>INPUT</x:v>
      </x:c>
      <x:c r="F12" s="476" t="str">
        <x:v>single cell</x:v>
      </x:c>
      <x:c r="G12" s="478" t="str">
        <x:v>No</x:v>
      </x:c>
      <x:c r="H12" s="475" t="str">
        <x:v>Bill of Lading number</x:v>
      </x:c>
    </x:row>
    <x:row r="13">
      <x:c r="A13" s="476" t="str">
        <x:v>CONTAINER_NO</x:v>
      </x:c>
      <x:c r="B13" s="476" t="str">
        <x:v>Commercial Invoice</x:v>
      </x:c>
      <x:c r="C13" s="476" t="str">
        <x:v>B12</x:v>
      </x:c>
      <x:c r="D13" s="476" t="str">
        <x:v>CI_Metadata</x:v>
      </x:c>
      <x:c r="E13" s="476" t="str">
        <x:v>INPUT</x:v>
      </x:c>
      <x:c r="F13" s="476" t="str">
        <x:v>single cell</x:v>
      </x:c>
      <x:c r="G13" s="478" t="str">
        <x:v>No</x:v>
      </x:c>
      <x:c r="H13" s="475" t="str">
        <x:v>Primary container or comma-separated list</x:v>
      </x:c>
    </x:row>
    <x:row r="14">
      <x:c r="A14" s="476" t="str">
        <x:v>PAYLOAD_SHA256</x:v>
      </x:c>
      <x:c r="B14" s="476" t="str">
        <x:v>Commercial Invoice</x:v>
      </x:c>
      <x:c r="C14" s="476" t="str">
        <x:v>B14</x:v>
      </x:c>
      <x:c r="D14" s="476" t="str">
        <x:v>CI_Metadata</x:v>
      </x:c>
      <x:c r="E14" s="476" t="str">
        <x:v>INPUT</x:v>
      </x:c>
      <x:c r="F14" s="476" t="str">
        <x:v>single cell</x:v>
      </x:c>
      <x:c r="G14" s="478" t="str">
        <x:v>No</x:v>
      </x:c>
      <x:c r="H14" s="475" t="str">
        <x:v>SHA-256 hash of source payload</x:v>
      </x:c>
    </x:row>
    <x:row r="15">
      <x:c r="A15" s="476" t="str">
        <x:v>DPP_QR_URL</x:v>
      </x:c>
      <x:c r="B15" s="476" t="str">
        <x:v>Commercial Invoice</x:v>
      </x:c>
      <x:c r="C15" s="476" t="str">
        <x:v>I14</x:v>
      </x:c>
      <x:c r="D15" s="476" t="str">
        <x:v>CI_Metadata</x:v>
      </x:c>
      <x:c r="E15" s="476" t="str">
        <x:v>INPUT</x:v>
      </x:c>
      <x:c r="F15" s="476" t="str">
        <x:v>single cell / hyperlink text</x:v>
      </x:c>
      <x:c r="G15" s="478" t="str">
        <x:v>No</x:v>
      </x:c>
      <x:c r="H15" s="475" t="str">
        <x:v>Plain URL; backend may convert to hyperlink</x:v>
      </x:c>
    </x:row>
    <x:row r="16">
      <x:c r="A16" s="476" t="str">
        <x:v>QR_IMAGE_PLACEHOLDER</x:v>
      </x:c>
      <x:c r="B16" s="476" t="str">
        <x:v>Commercial Invoice</x:v>
      </x:c>
      <x:c r="C16" s="476" t="str">
        <x:v>L14:M15</x:v>
      </x:c>
      <x:c r="D16" s="476" t="str">
        <x:v>CI_Metadata</x:v>
      </x:c>
      <x:c r="E16" s="476" t="str">
        <x:v>IMAGE</x:v>
      </x:c>
      <x:c r="F16" s="476" t="str">
        <x:v>insert image anchored here</x:v>
      </x:c>
      <x:c r="G16" s="478" t="str">
        <x:v>No</x:v>
      </x:c>
      <x:c r="H16" s="475" t="str">
        <x:v>Backend inserts QR SVG/PNG over this placeholder</x:v>
      </x:c>
    </x:row>
    <x:row r="17">
      <x:c r="A17" s="476" t="str">
        <x:v>CI_LINE_ITEMS</x:v>
      </x:c>
      <x:c r="B17" s="476" t="str">
        <x:v>Commercial Invoice</x:v>
      </x:c>
      <x:c r="C17" s="476" t="str">
        <x:v>A17:M37</x:v>
      </x:c>
      <x:c r="D17" s="476" t="str">
        <x:v>CI_LineItems</x:v>
      </x:c>
      <x:c r="E17" s="476" t="str">
        <x:v>RANGE</x:v>
      </x:c>
      <x:c r="F17" s="476" t="str">
        <x:v>append/update rows 18:37 only</x:v>
      </x:c>
      <x:c r="G17" s="478" t="str">
        <x:v>Yes in H/K/L</x:v>
      </x:c>
      <x:c r="H17" s="475" t="str">
        <x:v>Header row 17; formula columns H/K/L</x:v>
      </x:c>
    </x:row>
    <x:row r="18">
      <x:c r="A18" s="476" t="str">
        <x:v>CI_TOTALS</x:v>
      </x:c>
      <x:c r="B18" s="476" t="str">
        <x:v>Commercial Invoice</x:v>
      </x:c>
      <x:c r="C18" s="476" t="str">
        <x:v>A38:M41</x:v>
      </x:c>
      <x:c r="D18" s="476" t="str">
        <x:v>CI_Totals</x:v>
      </x:c>
      <x:c r="E18" s="476" t="str">
        <x:v>FORMULA/RANGE</x:v>
      </x:c>
      <x:c r="F18" s="476" t="str">
        <x:v>do not overwrite</x:v>
      </x:c>
      <x:c r="G18" s="478" t="str">
        <x:v>Yes</x:v>
      </x:c>
      <x:c r="H18" s="475" t="str">
        <x:v>Totals and commercial/carbon summary</x:v>
      </x:c>
    </x:row>
    <x:row r="19">
      <x:c r="A19" s="476" t="str">
        <x:v>EXPORTER_NAME</x:v>
      </x:c>
      <x:c r="B19" s="476" t="str">
        <x:v>Packing List</x:v>
      </x:c>
      <x:c r="C19" s="476" t="str">
        <x:v>B5</x:v>
      </x:c>
      <x:c r="D19" s="476" t="str">
        <x:v>PL_Metadata</x:v>
      </x:c>
      <x:c r="E19" s="476" t="str">
        <x:v>INPUT</x:v>
      </x:c>
      <x:c r="F19" s="476" t="str">
        <x:v>single cell</x:v>
      </x:c>
      <x:c r="G19" s="478" t="str">
        <x:v>No</x:v>
      </x:c>
      <x:c r="H19" s="475" t="str">
        <x:v>Same exporter value as CI</x:v>
      </x:c>
    </x:row>
    <x:row r="20">
      <x:c r="A20" s="476" t="str">
        <x:v>BUYER_BRAND_NAME</x:v>
      </x:c>
      <x:c r="B20" s="476" t="str">
        <x:v>Packing List</x:v>
      </x:c>
      <x:c r="C20" s="476" t="str">
        <x:v>J5</x:v>
      </x:c>
      <x:c r="D20" s="476" t="str">
        <x:v>PL_Metadata</x:v>
      </x:c>
      <x:c r="E20" s="476" t="str">
        <x:v>INPUT</x:v>
      </x:c>
      <x:c r="F20" s="476" t="str">
        <x:v>single cell</x:v>
      </x:c>
      <x:c r="G20" s="478" t="str">
        <x:v>No</x:v>
      </x:c>
      <x:c r="H20" s="475" t="str">
        <x:v>Buyer/brand</x:v>
      </x:c>
    </x:row>
    <x:row r="21">
      <x:c r="A21" s="476" t="str">
        <x:v>PO_CONTRACT_ID</x:v>
      </x:c>
      <x:c r="B21" s="476" t="str">
        <x:v>Packing List</x:v>
      </x:c>
      <x:c r="C21" s="476" t="str">
        <x:v>E5</x:v>
      </x:c>
      <x:c r="D21" s="476" t="str">
        <x:v>PL_Metadata</x:v>
      </x:c>
      <x:c r="E21" s="476" t="str">
        <x:v>INPUT</x:v>
      </x:c>
      <x:c r="F21" s="476" t="str">
        <x:v>single cell</x:v>
      </x:c>
      <x:c r="G21" s="478" t="str">
        <x:v>No</x:v>
      </x:c>
      <x:c r="H21" s="475" t="str">
        <x:v>PO/Contract reference</x:v>
      </x:c>
    </x:row>
    <x:row r="22">
      <x:c r="A22" s="476" t="str">
        <x:v>CUSTOMS_DECL_NO</x:v>
      </x:c>
      <x:c r="B22" s="476" t="str">
        <x:v>Packing List</x:v>
      </x:c>
      <x:c r="C22" s="476" t="str">
        <x:v>E7</x:v>
      </x:c>
      <x:c r="D22" s="476" t="str">
        <x:v>PL_Metadata</x:v>
      </x:c>
      <x:c r="E22" s="476" t="str">
        <x:v>INPUT</x:v>
      </x:c>
      <x:c r="F22" s="476" t="str">
        <x:v>single cell</x:v>
      </x:c>
      <x:c r="G22" s="478" t="str">
        <x:v>No</x:v>
      </x:c>
      <x:c r="H22" s="475" t="str">
        <x:v>Customs declaration number</x:v>
      </x:c>
    </x:row>
    <x:row r="23">
      <x:c r="A23" s="476" t="str">
        <x:v>BL_NO</x:v>
      </x:c>
      <x:c r="B23" s="476" t="str">
        <x:v>Packing List</x:v>
      </x:c>
      <x:c r="C23" s="476" t="str">
        <x:v>J6</x:v>
      </x:c>
      <x:c r="D23" s="476" t="str">
        <x:v>PL_Metadata</x:v>
      </x:c>
      <x:c r="E23" s="476" t="str">
        <x:v>INPUT</x:v>
      </x:c>
      <x:c r="F23" s="476" t="str">
        <x:v>single cell</x:v>
      </x:c>
      <x:c r="G23" s="478" t="str">
        <x:v>No</x:v>
      </x:c>
      <x:c r="H23" s="475" t="str">
        <x:v>B/L number</x:v>
      </x:c>
    </x:row>
    <x:row r="24">
      <x:c r="A24" s="476" t="str">
        <x:v>CONTAINER_NO</x:v>
      </x:c>
      <x:c r="B24" s="476" t="str">
        <x:v>Packing List</x:v>
      </x:c>
      <x:c r="C24" s="476" t="str">
        <x:v>M6</x:v>
      </x:c>
      <x:c r="D24" s="476" t="str">
        <x:v>PL_Metadata</x:v>
      </x:c>
      <x:c r="E24" s="476" t="str">
        <x:v>INPUT</x:v>
      </x:c>
      <x:c r="F24" s="476" t="str">
        <x:v>single cell</x:v>
      </x:c>
      <x:c r="G24" s="478" t="str">
        <x:v>No</x:v>
      </x:c>
      <x:c r="H24" s="475" t="str">
        <x:v>Primary container</x:v>
      </x:c>
    </x:row>
    <x:row r="25">
      <x:c r="A25" s="476" t="str">
        <x:v>PAYLOAD_SHA256</x:v>
      </x:c>
      <x:c r="B25" s="476" t="str">
        <x:v>Packing List</x:v>
      </x:c>
      <x:c r="C25" s="476" t="str">
        <x:v>M8</x:v>
      </x:c>
      <x:c r="D25" s="476" t="str">
        <x:v>PL_Metadata</x:v>
      </x:c>
      <x:c r="E25" s="476" t="str">
        <x:v>INPUT</x:v>
      </x:c>
      <x:c r="F25" s="476" t="str">
        <x:v>single cell</x:v>
      </x:c>
      <x:c r="G25" s="478" t="str">
        <x:v>No</x:v>
      </x:c>
      <x:c r="H25" s="475" t="str">
        <x:v>Source payload hash</x:v>
      </x:c>
    </x:row>
    <x:row r="26">
      <x:c r="A26" s="476" t="str">
        <x:v>DPP_QR_URL</x:v>
      </x:c>
      <x:c r="B26" s="476" t="str">
        <x:v>Packing List</x:v>
      </x:c>
      <x:c r="C26" s="476" t="str">
        <x:v>J8</x:v>
      </x:c>
      <x:c r="D26" s="476" t="str">
        <x:v>PL_Metadata</x:v>
      </x:c>
      <x:c r="E26" s="476" t="str">
        <x:v>INPUT</x:v>
      </x:c>
      <x:c r="F26" s="476" t="str">
        <x:v>single cell / hyperlink text</x:v>
      </x:c>
      <x:c r="G26" s="478" t="str">
        <x:v>No</x:v>
      </x:c>
      <x:c r="H26" s="475" t="str">
        <x:v>Plain URL for DPP/QR</x:v>
      </x:c>
    </x:row>
    <x:row r="27">
      <x:c r="A27" s="476" t="str">
        <x:v>QR_IMAGE_PLACEHOLDER</x:v>
      </x:c>
      <x:c r="B27" s="476" t="str">
        <x:v>Packing List</x:v>
      </x:c>
      <x:c r="C27" s="476" t="str">
        <x:v>L13:N15</x:v>
      </x:c>
      <x:c r="D27" s="476" t="str">
        <x:v>PL_Metadata</x:v>
      </x:c>
      <x:c r="E27" s="476" t="str">
        <x:v>IMAGE</x:v>
      </x:c>
      <x:c r="F27" s="476" t="str">
        <x:v>insert image anchored here</x:v>
      </x:c>
      <x:c r="G27" s="478" t="str">
        <x:v>No</x:v>
      </x:c>
      <x:c r="H27" s="475" t="str">
        <x:v>Backend inserts QR SVG/PNG over this placeholder</x:v>
      </x:c>
    </x:row>
    <x:row r="28">
      <x:c r="A28" s="476" t="str">
        <x:v>PL_CARTON_LINES</x:v>
      </x:c>
      <x:c r="B28" s="476" t="str">
        <x:v>Packing List</x:v>
      </x:c>
      <x:c r="C28" s="476" t="str">
        <x:v>A17:N37</x:v>
      </x:c>
      <x:c r="D28" s="476" t="str">
        <x:v>PL_CartonLines</x:v>
      </x:c>
      <x:c r="E28" s="476" t="str">
        <x:v>RANGE</x:v>
      </x:c>
      <x:c r="F28" s="476" t="str">
        <x:v>append/update rows 18:37 only</x:v>
      </x:c>
      <x:c r="G28" s="478" t="str">
        <x:v>Yes in G/L/M</x:v>
      </x:c>
      <x:c r="H28" s="475" t="str">
        <x:v>Carton line data; formula columns G/L/M</x:v>
      </x:c>
    </x:row>
    <x:row r="29">
      <x:c r="A29" s="476" t="str">
        <x:v>PL_CONTAINER_SUMMARY</x:v>
      </x:c>
      <x:c r="B29" s="476" t="str">
        <x:v>Packing List</x:v>
      </x:c>
      <x:c r="C29" s="476" t="str">
        <x:v>A42:H49</x:v>
      </x:c>
      <x:c r="D29" s="476" t="str">
        <x:v>PL_Totals</x:v>
      </x:c>
      <x:c r="E29" s="476" t="str">
        <x:v>RANGE/FORMULA</x:v>
      </x:c>
      <x:c r="F29" s="476" t="str">
        <x:v>write only A43:A48</x:v>
      </x:c>
      <x:c r="G29" s="478" t="str">
        <x:v>Yes in B:H</x:v>
      </x:c>
      <x:c r="H29" s="475" t="str">
        <x:v>Container No input; summary formulas aggregate carton lines</x:v>
      </x:c>
    </x:row>
    <x:row r="30">
      <x:c r="A30" s="476" t="str">
        <x:v>BL_NO</x:v>
      </x:c>
      <x:c r="B30" s="476" t="str">
        <x:v>Bill of Lading - Carbon Annex</x:v>
      </x:c>
      <x:c r="C30" s="476" t="str">
        <x:v>B5</x:v>
      </x:c>
      <x:c r="D30" s="476" t="str">
        <x:v>BL_Metadata</x:v>
      </x:c>
      <x:c r="E30" s="476" t="str">
        <x:v>INPUT</x:v>
      </x:c>
      <x:c r="F30" s="476" t="str">
        <x:v>single cell</x:v>
      </x:c>
      <x:c r="G30" s="478" t="str">
        <x:v>No</x:v>
      </x:c>
      <x:c r="H30" s="475" t="str">
        <x:v>B/L number</x:v>
      </x:c>
    </x:row>
    <x:row r="31">
      <x:c r="A31" s="476" t="str">
        <x:v>CONTAINER_NO</x:v>
      </x:c>
      <x:c r="B31" s="476" t="str">
        <x:v>Bill of Lading - Carbon Annex</x:v>
      </x:c>
      <x:c r="C31" s="476" t="str">
        <x:v>E6</x:v>
      </x:c>
      <x:c r="D31" s="476" t="str">
        <x:v>BL_Metadata</x:v>
      </x:c>
      <x:c r="E31" s="476" t="str">
        <x:v>INPUT</x:v>
      </x:c>
      <x:c r="F31" s="476" t="str">
        <x:v>single cell</x:v>
      </x:c>
      <x:c r="G31" s="478" t="str">
        <x:v>No</x:v>
      </x:c>
      <x:c r="H31" s="475" t="str">
        <x:v>Container number</x:v>
      </x:c>
    </x:row>
    <x:row r="32">
      <x:c r="A32" s="476" t="str">
        <x:v>PO_CONTRACT_ID</x:v>
      </x:c>
      <x:c r="B32" s="476" t="str">
        <x:v>Bill of Lading - Carbon Annex</x:v>
      </x:c>
      <x:c r="C32" s="476" t="str">
        <x:v>B7</x:v>
      </x:c>
      <x:c r="D32" s="476" t="str">
        <x:v>BL_Metadata</x:v>
      </x:c>
      <x:c r="E32" s="476" t="str">
        <x:v>INPUT</x:v>
      </x:c>
      <x:c r="F32" s="476" t="str">
        <x:v>single cell</x:v>
      </x:c>
      <x:c r="G32" s="478" t="str">
        <x:v>No</x:v>
      </x:c>
      <x:c r="H32" s="475" t="str">
        <x:v>PO/Contract reference</x:v>
      </x:c>
    </x:row>
    <x:row r="33">
      <x:c r="A33" s="476" t="str">
        <x:v>CUSTOMS_DECL_NO</x:v>
      </x:c>
      <x:c r="B33" s="476" t="str">
        <x:v>Bill of Lading - Carbon Annex</x:v>
      </x:c>
      <x:c r="C33" s="476" t="str">
        <x:v>E7</x:v>
      </x:c>
      <x:c r="D33" s="476" t="str">
        <x:v>BL_Metadata</x:v>
      </x:c>
      <x:c r="E33" s="476" t="str">
        <x:v>INPUT</x:v>
      </x:c>
      <x:c r="F33" s="476" t="str">
        <x:v>single cell</x:v>
      </x:c>
      <x:c r="G33" s="478" t="str">
        <x:v>No</x:v>
      </x:c>
      <x:c r="H33" s="475" t="str">
        <x:v>Customs declaration number</x:v>
      </x:c>
    </x:row>
    <x:row r="34">
      <x:c r="A34" s="476" t="str">
        <x:v>PAYLOAD_SHA256</x:v>
      </x:c>
      <x:c r="B34" s="476" t="str">
        <x:v>Bill of Lading - Carbon Annex</x:v>
      </x:c>
      <x:c r="C34" s="476" t="str">
        <x:v>K7</x:v>
      </x:c>
      <x:c r="D34" s="476" t="str">
        <x:v>BL_Metadata</x:v>
      </x:c>
      <x:c r="E34" s="476" t="str">
        <x:v>INPUT</x:v>
      </x:c>
      <x:c r="F34" s="476" t="str">
        <x:v>single cell</x:v>
      </x:c>
      <x:c r="G34" s="478" t="str">
        <x:v>No</x:v>
      </x:c>
      <x:c r="H34" s="475" t="str">
        <x:v>Payload hash</x:v>
      </x:c>
    </x:row>
    <x:row r="35">
      <x:c r="A35" s="476" t="str">
        <x:v>DPP_QR_URL</x:v>
      </x:c>
      <x:c r="B35" s="476" t="str">
        <x:v>Bill of Lading - Carbon Annex</x:v>
      </x:c>
      <x:c r="C35" s="476" t="str">
        <x:v>K8</x:v>
      </x:c>
      <x:c r="D35" s="476" t="str">
        <x:v>BL_Metadata</x:v>
      </x:c>
      <x:c r="E35" s="476" t="str">
        <x:v>INPUT</x:v>
      </x:c>
      <x:c r="F35" s="476" t="str">
        <x:v>single cell / hyperlink text</x:v>
      </x:c>
      <x:c r="G35" s="478" t="str">
        <x:v>No</x:v>
      </x:c>
      <x:c r="H35" s="475" t="str">
        <x:v>Plain URL for DPP/QR</x:v>
      </x:c>
    </x:row>
    <x:row r="36">
      <x:c r="A36" s="476" t="str">
        <x:v>QR_IMAGE_PLACEHOLDER</x:v>
      </x:c>
      <x:c r="B36" s="476" t="str">
        <x:v>Bill of Lading - Carbon Annex</x:v>
      </x:c>
      <x:c r="C36" s="476" t="str">
        <x:v>N10:P12</x:v>
      </x:c>
      <x:c r="D36" s="476" t="str">
        <x:v>BL_Metadata</x:v>
      </x:c>
      <x:c r="E36" s="476" t="str">
        <x:v>IMAGE</x:v>
      </x:c>
      <x:c r="F36" s="476" t="str">
        <x:v>insert image anchored here</x:v>
      </x:c>
      <x:c r="G36" s="478" t="str">
        <x:v>No</x:v>
      </x:c>
      <x:c r="H36" s="475" t="str">
        <x:v>Backend inserts QR SVG/PNG over this placeholder</x:v>
      </x:c>
    </x:row>
    <x:row r="37">
      <x:c r="A37" s="476" t="str">
        <x:v>BL_CARBON_LEGS</x:v>
      </x:c>
      <x:c r="B37" s="476" t="str">
        <x:v>Bill of Lading - Carbon Annex</x:v>
      </x:c>
      <x:c r="C37" s="476" t="str">
        <x:v>A17:P37</x:v>
      </x:c>
      <x:c r="D37" s="476" t="str">
        <x:v>BL_CarbonLegs</x:v>
      </x:c>
      <x:c r="E37" s="476" t="str">
        <x:v>RANGE</x:v>
      </x:c>
      <x:c r="F37" s="476" t="str">
        <x:v>append/update rows 18:37 only</x:v>
      </x:c>
      <x:c r="G37" s="478" t="str">
        <x:v>Yes in L/N/O</x:v>
      </x:c>
      <x:c r="H37" s="475" t="str">
        <x:v>Formula columns calculate logistics and shipment carbon</x:v>
      </x:c>
    </x:row>
    <x:row r="38">
      <x:c r="A38" s="476" t="str">
        <x:v>BL_TOTALS</x:v>
      </x:c>
      <x:c r="B38" s="476" t="str">
        <x:v>Bill of Lading - Carbon Annex</x:v>
      </x:c>
      <x:c r="C38" s="476" t="str">
        <x:v>A38:P42</x:v>
      </x:c>
      <x:c r="D38" s="476" t="str">
        <x:v>BL_Totals</x:v>
      </x:c>
      <x:c r="E38" s="476" t="str">
        <x:v>FORMULA/RANGE</x:v>
      </x:c>
      <x:c r="F38" s="476" t="str">
        <x:v>do not overwrite</x:v>
      </x:c>
      <x:c r="G38" s="478" t="str">
        <x:v>Yes</x:v>
      </x:c>
      <x:c r="H38" s="475" t="str">
        <x:v>Totals for logistics, embedded and shipment carbon</x:v>
      </x:c>
    </x:row>
    <x:row r="41" ht="38" customHeight="1">
      <x:c r="A41" s="471" t="str">
        <x:v>Named Range</x:v>
      </x:c>
      <x:c r="B41" s="471" t="str">
        <x:v>Refers To</x:v>
      </x:c>
      <x:c r="C41" s="471" t="str">
        <x:v>Purpose</x:v>
      </x:c>
      <x:c r="D41" s="471" t="str">
        <x:v>Overwrite Policy</x:v>
      </x:c>
    </x:row>
    <x:row r="42">
      <x:c r="A42" s="475" t="str">
        <x:v>CI_Metadata</x:v>
      </x:c>
      <x:c r="B42" s="475" t="str">
        <x:v>'Commercial Invoice'!$A$10:$M$15</x:v>
      </x:c>
      <x:c r="C42" s="475" t="str">
        <x:v>Commercial invoice document/carbon metadata + QR placeholder</x:v>
      </x:c>
      <x:c r="D42" s="475" t="str">
        <x:v>INPUT cells only</x:v>
      </x:c>
    </x:row>
    <x:row r="43">
      <x:c r="A43" s="475" t="str">
        <x:v>CI_LineItems</x:v>
      </x:c>
      <x:c r="B43" s="475" t="str">
        <x:v>'Commercial Invoice'!$A$17:$M$37</x:v>
      </x:c>
      <x:c r="C43" s="475" t="str">
        <x:v>Commercial invoice line item table</x:v>
      </x:c>
      <x:c r="D43" s="475" t="str">
        <x:v>Rows 18:37; never overwrite formula columns H/K/L</x:v>
      </x:c>
    </x:row>
    <x:row r="44">
      <x:c r="A44" s="475" t="str">
        <x:v>CI_Totals</x:v>
      </x:c>
      <x:c r="B44" s="475" t="str">
        <x:v>'Commercial Invoice'!$A$38:$M$41</x:v>
      </x:c>
      <x:c r="C44" s="475" t="str">
        <x:v>Commercial invoice total and summary formulas</x:v>
      </x:c>
      <x:c r="D44" s="475" t="str">
        <x:v>DO NOT OVERWRITE</x:v>
      </x:c>
    </x:row>
    <x:row r="45">
      <x:c r="A45" s="475" t="str">
        <x:v>PL_Metadata</x:v>
      </x:c>
      <x:c r="B45" s="475" t="str">
        <x:v>'Packing List'!$A$10:$N$15</x:v>
      </x:c>
      <x:c r="C45" s="475" t="str">
        <x:v>Packing list carbon metadata + QR placeholder</x:v>
      </x:c>
      <x:c r="D45" s="475" t="str">
        <x:v>INPUT cells only</x:v>
      </x:c>
    </x:row>
    <x:row r="46">
      <x:c r="A46" s="475" t="str">
        <x:v>PL_CartonLines</x:v>
      </x:c>
      <x:c r="B46" s="475" t="str">
        <x:v>'Packing List'!$A$17:$N$37</x:v>
      </x:c>
      <x:c r="C46" s="475" t="str">
        <x:v>Packing list carton line table</x:v>
      </x:c>
      <x:c r="D46" s="475" t="str">
        <x:v>Rows 18:37; never overwrite formula columns G/L/M</x:v>
      </x:c>
    </x:row>
    <x:row r="47">
      <x:c r="A47" s="475" t="str">
        <x:v>PL_Totals</x:v>
      </x:c>
      <x:c r="B47" s="475" t="str">
        <x:v>'Packing List'!$A$38:$H$49</x:v>
      </x:c>
      <x:c r="C47" s="475" t="str">
        <x:v>Grand totals and container summary</x:v>
      </x:c>
      <x:c r="D47" s="475" t="str">
        <x:v>Only write A43:A48 container numbers</x:v>
      </x:c>
    </x:row>
    <x:row r="48">
      <x:c r="A48" s="475" t="str">
        <x:v>BL_Metadata</x:v>
      </x:c>
      <x:c r="B48" s="475" t="str">
        <x:v>'Bill of Lading - Carbon Annex'!$A$4:$P$12</x:v>
      </x:c>
      <x:c r="C48" s="475" t="str">
        <x:v>B/L identity, carbon methodology and QR placeholder</x:v>
      </x:c>
      <x:c r="D48" s="475" t="str">
        <x:v>INPUT cells only</x:v>
      </x:c>
    </x:row>
    <x:row r="49">
      <x:c r="A49" s="475" t="str">
        <x:v>BL_CarbonLegs</x:v>
      </x:c>
      <x:c r="B49" s="475" t="str">
        <x:v>'Bill of Lading - Carbon Annex'!$A$17:$P$37</x:v>
      </x:c>
      <x:c r="C49" s="475" t="str">
        <x:v>Route-leg carbon calculation table</x:v>
      </x:c>
      <x:c r="D49" s="475" t="str">
        <x:v>Rows 18:37; never overwrite formula columns L/N/O</x:v>
      </x:c>
    </x:row>
    <x:row r="50">
      <x:c r="A50" s="475" t="str">
        <x:v>BL_Totals</x:v>
      </x:c>
      <x:c r="B50" s="475" t="str">
        <x:v>'Bill of Lading - Carbon Annex'!$A$38:$P$42</x:v>
      </x:c>
      <x:c r="C50" s="475" t="str">
        <x:v>B/L carbon totals</x:v>
      </x:c>
      <x:c r="D50" s="475" t="str">
        <x:v>DO NOT OVERWRITE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318ec5905bc4050"/>
  </x:tableParts>
</x:worksheet>
</file>